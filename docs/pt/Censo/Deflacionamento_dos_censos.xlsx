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vannaribeiro/Documents/PUC-Rio Doutorado/Data Zoom/Censo 2022/"/>
    </mc:Choice>
  </mc:AlternateContent>
  <xr:revisionPtr revIDLastSave="0" documentId="13_ncr:1_{5E3063C3-B064-D443-AA28-2FC9964003C5}" xr6:coauthVersionLast="47" xr6:coauthVersionMax="47" xr10:uidLastSave="{00000000-0000-0000-0000-000000000000}"/>
  <bookViews>
    <workbookView xWindow="0" yWindow="600" windowWidth="28800" windowHeight="16180" xr2:uid="{70590F30-7065-5441-AE90-0832CC26111F}"/>
  </bookViews>
  <sheets>
    <sheet name="LEIAME" sheetId="4" r:id="rId1"/>
    <sheet name="IGP" sheetId="1" r:id="rId2"/>
    <sheet name="INPC" sheetId="2" r:id="rId3"/>
    <sheet name="Deflator compatibilizacao Censo" sheetId="3" r:id="rId4"/>
    <sheet name="Conversor moeda compat Censo" sheetId="5" r:id="rId5"/>
    <sheet name="Deflator e Conversor Censo" sheetId="6" r:id="rId6"/>
  </sheets>
  <definedNames>
    <definedName name="_xlnm._FilterDatabase" localSheetId="3" hidden="1">'Deflator compatibilizacao Censo'!$A$2:$G$801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2" i="3" l="1"/>
  <c r="B793" i="3"/>
  <c r="B794" i="3"/>
  <c r="B795" i="3"/>
  <c r="B796" i="3"/>
  <c r="B797" i="3"/>
  <c r="B798" i="3"/>
  <c r="B799" i="3"/>
  <c r="B800" i="3"/>
  <c r="B801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3" i="3"/>
  <c r="C3" i="3" s="1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234" i="3"/>
  <c r="C4" i="3" l="1"/>
  <c r="D3" i="3"/>
  <c r="C5" i="3" l="1"/>
  <c r="D4" i="3"/>
  <c r="E4" i="3" s="1"/>
  <c r="C6" i="3" l="1"/>
  <c r="D5" i="3"/>
  <c r="E5" i="3" s="1"/>
  <c r="C7" i="3" l="1"/>
  <c r="D6" i="3"/>
  <c r="E6" i="3" s="1"/>
  <c r="C8" i="3" l="1"/>
  <c r="D7" i="3"/>
  <c r="E7" i="3" s="1"/>
  <c r="C9" i="3" l="1"/>
  <c r="D8" i="3"/>
  <c r="E8" i="3" s="1"/>
  <c r="C10" i="3" l="1"/>
  <c r="D9" i="3"/>
  <c r="E9" i="3" s="1"/>
  <c r="C11" i="3" l="1"/>
  <c r="D10" i="3"/>
  <c r="E10" i="3" s="1"/>
  <c r="C12" i="3" l="1"/>
  <c r="D11" i="3"/>
  <c r="E11" i="3" s="1"/>
  <c r="C13" i="3" l="1"/>
  <c r="D12" i="3"/>
  <c r="E12" i="3" s="1"/>
  <c r="C14" i="3" l="1"/>
  <c r="D13" i="3"/>
  <c r="E13" i="3" s="1"/>
  <c r="C15" i="3" l="1"/>
  <c r="D14" i="3"/>
  <c r="E14" i="3" s="1"/>
  <c r="C16" i="3" l="1"/>
  <c r="D15" i="3"/>
  <c r="E15" i="3" s="1"/>
  <c r="C17" i="3" l="1"/>
  <c r="D16" i="3"/>
  <c r="E16" i="3" s="1"/>
  <c r="C18" i="3" l="1"/>
  <c r="D17" i="3"/>
  <c r="E17" i="3" s="1"/>
  <c r="C19" i="3" l="1"/>
  <c r="D18" i="3"/>
  <c r="E18" i="3" s="1"/>
  <c r="C20" i="3" l="1"/>
  <c r="D19" i="3"/>
  <c r="E19" i="3" s="1"/>
  <c r="C21" i="3" l="1"/>
  <c r="D20" i="3"/>
  <c r="E20" i="3" s="1"/>
  <c r="C22" i="3" l="1"/>
  <c r="D21" i="3"/>
  <c r="E21" i="3" s="1"/>
  <c r="C23" i="3" l="1"/>
  <c r="D22" i="3"/>
  <c r="E22" i="3" s="1"/>
  <c r="C24" i="3" l="1"/>
  <c r="D23" i="3"/>
  <c r="E23" i="3" s="1"/>
  <c r="C25" i="3" l="1"/>
  <c r="D24" i="3"/>
  <c r="E24" i="3" s="1"/>
  <c r="C26" i="3" l="1"/>
  <c r="D25" i="3"/>
  <c r="E25" i="3" s="1"/>
  <c r="C27" i="3" l="1"/>
  <c r="D26" i="3"/>
  <c r="E26" i="3" s="1"/>
  <c r="C28" i="3" l="1"/>
  <c r="D27" i="3"/>
  <c r="E27" i="3" s="1"/>
  <c r="C29" i="3" l="1"/>
  <c r="D28" i="3"/>
  <c r="E28" i="3" s="1"/>
  <c r="C30" i="3" l="1"/>
  <c r="D29" i="3"/>
  <c r="E29" i="3" s="1"/>
  <c r="C31" i="3" l="1"/>
  <c r="D30" i="3"/>
  <c r="E30" i="3" s="1"/>
  <c r="C32" i="3" l="1"/>
  <c r="D32" i="3" s="1"/>
  <c r="D31" i="3"/>
  <c r="E31" i="3" s="1"/>
  <c r="E32" i="3" l="1"/>
  <c r="C33" i="3"/>
  <c r="C34" i="3" l="1"/>
  <c r="D33" i="3"/>
  <c r="E33" i="3" s="1"/>
  <c r="C35" i="3" l="1"/>
  <c r="D34" i="3"/>
  <c r="E34" i="3" s="1"/>
  <c r="C36" i="3" l="1"/>
  <c r="D35" i="3"/>
  <c r="E35" i="3" s="1"/>
  <c r="C37" i="3" l="1"/>
  <c r="D36" i="3"/>
  <c r="E36" i="3" s="1"/>
  <c r="C38" i="3" l="1"/>
  <c r="D37" i="3"/>
  <c r="E37" i="3" s="1"/>
  <c r="C39" i="3" l="1"/>
  <c r="D38" i="3"/>
  <c r="E38" i="3" s="1"/>
  <c r="C40" i="3" l="1"/>
  <c r="D39" i="3"/>
  <c r="E39" i="3" s="1"/>
  <c r="C41" i="3" l="1"/>
  <c r="D40" i="3"/>
  <c r="E40" i="3" s="1"/>
  <c r="C42" i="3" l="1"/>
  <c r="D41" i="3"/>
  <c r="E41" i="3" s="1"/>
  <c r="C43" i="3" l="1"/>
  <c r="D42" i="3"/>
  <c r="E42" i="3" s="1"/>
  <c r="C44" i="3" l="1"/>
  <c r="D43" i="3"/>
  <c r="E43" i="3" s="1"/>
  <c r="C45" i="3" l="1"/>
  <c r="D44" i="3"/>
  <c r="E44" i="3" s="1"/>
  <c r="C46" i="3" l="1"/>
  <c r="D45" i="3"/>
  <c r="E45" i="3" s="1"/>
  <c r="C47" i="3" l="1"/>
  <c r="D46" i="3"/>
  <c r="E46" i="3" s="1"/>
  <c r="C48" i="3" l="1"/>
  <c r="D47" i="3"/>
  <c r="E47" i="3" s="1"/>
  <c r="C49" i="3" l="1"/>
  <c r="D48" i="3"/>
  <c r="E48" i="3" s="1"/>
  <c r="C50" i="3" l="1"/>
  <c r="D49" i="3"/>
  <c r="E49" i="3" s="1"/>
  <c r="C51" i="3" l="1"/>
  <c r="D50" i="3"/>
  <c r="E50" i="3" s="1"/>
  <c r="C52" i="3" l="1"/>
  <c r="D51" i="3"/>
  <c r="E51" i="3" s="1"/>
  <c r="C53" i="3" l="1"/>
  <c r="D52" i="3"/>
  <c r="E52" i="3" s="1"/>
  <c r="C54" i="3" l="1"/>
  <c r="D53" i="3"/>
  <c r="E53" i="3" s="1"/>
  <c r="C55" i="3" l="1"/>
  <c r="D54" i="3"/>
  <c r="E54" i="3" s="1"/>
  <c r="C56" i="3" l="1"/>
  <c r="D55" i="3"/>
  <c r="E55" i="3" s="1"/>
  <c r="C57" i="3" l="1"/>
  <c r="D56" i="3"/>
  <c r="E56" i="3" s="1"/>
  <c r="C58" i="3" l="1"/>
  <c r="D57" i="3"/>
  <c r="E57" i="3" s="1"/>
  <c r="C59" i="3" l="1"/>
  <c r="D58" i="3"/>
  <c r="E58" i="3" s="1"/>
  <c r="C60" i="3" l="1"/>
  <c r="D59" i="3"/>
  <c r="E59" i="3" s="1"/>
  <c r="C61" i="3" l="1"/>
  <c r="D60" i="3"/>
  <c r="E60" i="3" s="1"/>
  <c r="C62" i="3" l="1"/>
  <c r="D61" i="3"/>
  <c r="E61" i="3" s="1"/>
  <c r="C63" i="3" l="1"/>
  <c r="D62" i="3"/>
  <c r="E62" i="3" s="1"/>
  <c r="C64" i="3" l="1"/>
  <c r="D63" i="3"/>
  <c r="E63" i="3" s="1"/>
  <c r="C65" i="3" l="1"/>
  <c r="D64" i="3"/>
  <c r="E64" i="3" s="1"/>
  <c r="C66" i="3" l="1"/>
  <c r="D65" i="3"/>
  <c r="E65" i="3" s="1"/>
  <c r="C67" i="3" l="1"/>
  <c r="D66" i="3"/>
  <c r="E66" i="3" s="1"/>
  <c r="C68" i="3" l="1"/>
  <c r="D67" i="3"/>
  <c r="E67" i="3" s="1"/>
  <c r="C69" i="3" l="1"/>
  <c r="D68" i="3"/>
  <c r="E68" i="3" s="1"/>
  <c r="C70" i="3" l="1"/>
  <c r="D69" i="3"/>
  <c r="E69" i="3" s="1"/>
  <c r="C71" i="3" l="1"/>
  <c r="D70" i="3"/>
  <c r="E70" i="3" s="1"/>
  <c r="C72" i="3" l="1"/>
  <c r="D71" i="3"/>
  <c r="E71" i="3" s="1"/>
  <c r="C73" i="3" l="1"/>
  <c r="D72" i="3"/>
  <c r="E72" i="3" s="1"/>
  <c r="C74" i="3" l="1"/>
  <c r="D73" i="3"/>
  <c r="E73" i="3" s="1"/>
  <c r="C75" i="3" l="1"/>
  <c r="D74" i="3"/>
  <c r="E74" i="3" s="1"/>
  <c r="C76" i="3" l="1"/>
  <c r="D75" i="3"/>
  <c r="E75" i="3" s="1"/>
  <c r="C77" i="3" l="1"/>
  <c r="D76" i="3"/>
  <c r="E76" i="3" s="1"/>
  <c r="C78" i="3" l="1"/>
  <c r="D77" i="3"/>
  <c r="E77" i="3" s="1"/>
  <c r="C79" i="3" l="1"/>
  <c r="D78" i="3"/>
  <c r="E78" i="3" s="1"/>
  <c r="C80" i="3" l="1"/>
  <c r="D79" i="3"/>
  <c r="E79" i="3" s="1"/>
  <c r="C81" i="3" l="1"/>
  <c r="D80" i="3"/>
  <c r="E80" i="3" s="1"/>
  <c r="C82" i="3" l="1"/>
  <c r="D81" i="3"/>
  <c r="E81" i="3" s="1"/>
  <c r="C83" i="3" l="1"/>
  <c r="D82" i="3"/>
  <c r="E82" i="3" s="1"/>
  <c r="C84" i="3" l="1"/>
  <c r="D83" i="3"/>
  <c r="E83" i="3" s="1"/>
  <c r="C85" i="3" l="1"/>
  <c r="D84" i="3"/>
  <c r="E84" i="3" s="1"/>
  <c r="C86" i="3" l="1"/>
  <c r="D85" i="3"/>
  <c r="E85" i="3" s="1"/>
  <c r="C87" i="3" l="1"/>
  <c r="D86" i="3"/>
  <c r="E86" i="3" s="1"/>
  <c r="C88" i="3" l="1"/>
  <c r="D87" i="3"/>
  <c r="E87" i="3" s="1"/>
  <c r="C89" i="3" l="1"/>
  <c r="D88" i="3"/>
  <c r="E88" i="3" s="1"/>
  <c r="C90" i="3" l="1"/>
  <c r="D89" i="3"/>
  <c r="E89" i="3" s="1"/>
  <c r="C91" i="3" l="1"/>
  <c r="D90" i="3"/>
  <c r="E90" i="3" s="1"/>
  <c r="C92" i="3" l="1"/>
  <c r="D91" i="3"/>
  <c r="E91" i="3" s="1"/>
  <c r="C93" i="3" l="1"/>
  <c r="D92" i="3"/>
  <c r="E92" i="3" s="1"/>
  <c r="C94" i="3" l="1"/>
  <c r="D93" i="3"/>
  <c r="E93" i="3" s="1"/>
  <c r="C95" i="3" l="1"/>
  <c r="D94" i="3"/>
  <c r="E94" i="3" s="1"/>
  <c r="C96" i="3" l="1"/>
  <c r="D95" i="3"/>
  <c r="E95" i="3" s="1"/>
  <c r="C97" i="3" l="1"/>
  <c r="D96" i="3"/>
  <c r="E96" i="3" s="1"/>
  <c r="C98" i="3" l="1"/>
  <c r="D97" i="3"/>
  <c r="E97" i="3" s="1"/>
  <c r="C99" i="3" l="1"/>
  <c r="D98" i="3"/>
  <c r="E98" i="3" s="1"/>
  <c r="C100" i="3" l="1"/>
  <c r="D99" i="3"/>
  <c r="E99" i="3" s="1"/>
  <c r="C101" i="3" l="1"/>
  <c r="D100" i="3"/>
  <c r="E100" i="3" s="1"/>
  <c r="C102" i="3" l="1"/>
  <c r="D101" i="3"/>
  <c r="E101" i="3" s="1"/>
  <c r="C103" i="3" l="1"/>
  <c r="D102" i="3"/>
  <c r="E102" i="3" s="1"/>
  <c r="C104" i="3" l="1"/>
  <c r="D103" i="3"/>
  <c r="E103" i="3" s="1"/>
  <c r="C105" i="3" l="1"/>
  <c r="D104" i="3"/>
  <c r="E104" i="3" s="1"/>
  <c r="C106" i="3" l="1"/>
  <c r="D105" i="3"/>
  <c r="E105" i="3" s="1"/>
  <c r="C107" i="3" l="1"/>
  <c r="D106" i="3"/>
  <c r="E106" i="3" s="1"/>
  <c r="C108" i="3" l="1"/>
  <c r="D107" i="3"/>
  <c r="E107" i="3" s="1"/>
  <c r="C109" i="3" l="1"/>
  <c r="D108" i="3"/>
  <c r="E108" i="3" s="1"/>
  <c r="C110" i="3" l="1"/>
  <c r="D109" i="3"/>
  <c r="E109" i="3" s="1"/>
  <c r="C111" i="3" l="1"/>
  <c r="D110" i="3"/>
  <c r="E110" i="3" s="1"/>
  <c r="C112" i="3" l="1"/>
  <c r="D111" i="3"/>
  <c r="E111" i="3" s="1"/>
  <c r="C113" i="3" l="1"/>
  <c r="D112" i="3"/>
  <c r="E112" i="3" s="1"/>
  <c r="C114" i="3" l="1"/>
  <c r="D113" i="3"/>
  <c r="E113" i="3" s="1"/>
  <c r="C115" i="3" l="1"/>
  <c r="D114" i="3"/>
  <c r="E114" i="3" s="1"/>
  <c r="C116" i="3" l="1"/>
  <c r="D115" i="3"/>
  <c r="E115" i="3" s="1"/>
  <c r="C117" i="3" l="1"/>
  <c r="D116" i="3"/>
  <c r="E116" i="3" s="1"/>
  <c r="C118" i="3" l="1"/>
  <c r="D117" i="3"/>
  <c r="E117" i="3" s="1"/>
  <c r="C119" i="3" l="1"/>
  <c r="D118" i="3"/>
  <c r="E118" i="3" s="1"/>
  <c r="C120" i="3" l="1"/>
  <c r="D119" i="3"/>
  <c r="E119" i="3" s="1"/>
  <c r="C121" i="3" l="1"/>
  <c r="D120" i="3"/>
  <c r="E120" i="3" s="1"/>
  <c r="C122" i="3" l="1"/>
  <c r="D121" i="3"/>
  <c r="E121" i="3" s="1"/>
  <c r="C123" i="3" l="1"/>
  <c r="D122" i="3"/>
  <c r="E122" i="3" s="1"/>
  <c r="C124" i="3" l="1"/>
  <c r="D123" i="3"/>
  <c r="E123" i="3" s="1"/>
  <c r="C125" i="3" l="1"/>
  <c r="D124" i="3"/>
  <c r="E124" i="3" s="1"/>
  <c r="C126" i="3" l="1"/>
  <c r="D125" i="3"/>
  <c r="E125" i="3" s="1"/>
  <c r="C127" i="3" l="1"/>
  <c r="D126" i="3"/>
  <c r="E126" i="3" s="1"/>
  <c r="C128" i="3" l="1"/>
  <c r="D127" i="3"/>
  <c r="E127" i="3" s="1"/>
  <c r="C129" i="3" l="1"/>
  <c r="D128" i="3"/>
  <c r="E128" i="3" s="1"/>
  <c r="C130" i="3" l="1"/>
  <c r="D129" i="3"/>
  <c r="E129" i="3" s="1"/>
  <c r="C131" i="3" l="1"/>
  <c r="D130" i="3"/>
  <c r="E130" i="3" s="1"/>
  <c r="C132" i="3" l="1"/>
  <c r="D131" i="3"/>
  <c r="E131" i="3" s="1"/>
  <c r="C133" i="3" l="1"/>
  <c r="D132" i="3"/>
  <c r="E132" i="3" s="1"/>
  <c r="C134" i="3" l="1"/>
  <c r="D133" i="3"/>
  <c r="E133" i="3" s="1"/>
  <c r="C135" i="3" l="1"/>
  <c r="D134" i="3"/>
  <c r="E134" i="3" s="1"/>
  <c r="C136" i="3" l="1"/>
  <c r="D135" i="3"/>
  <c r="E135" i="3" s="1"/>
  <c r="C137" i="3" l="1"/>
  <c r="D136" i="3"/>
  <c r="E136" i="3" s="1"/>
  <c r="C138" i="3" l="1"/>
  <c r="D137" i="3"/>
  <c r="E137" i="3" s="1"/>
  <c r="C139" i="3" l="1"/>
  <c r="D138" i="3"/>
  <c r="E138" i="3" s="1"/>
  <c r="C140" i="3" l="1"/>
  <c r="D139" i="3"/>
  <c r="E139" i="3" s="1"/>
  <c r="C141" i="3" l="1"/>
  <c r="D140" i="3"/>
  <c r="E140" i="3" s="1"/>
  <c r="C142" i="3" l="1"/>
  <c r="D141" i="3"/>
  <c r="E141" i="3" s="1"/>
  <c r="C143" i="3" l="1"/>
  <c r="D142" i="3"/>
  <c r="E142" i="3" s="1"/>
  <c r="C144" i="3" l="1"/>
  <c r="D143" i="3"/>
  <c r="E143" i="3" s="1"/>
  <c r="C145" i="3" l="1"/>
  <c r="D144" i="3"/>
  <c r="E144" i="3" s="1"/>
  <c r="C146" i="3" l="1"/>
  <c r="D145" i="3"/>
  <c r="E145" i="3" s="1"/>
  <c r="C147" i="3" l="1"/>
  <c r="D146" i="3"/>
  <c r="E146" i="3" s="1"/>
  <c r="C148" i="3" l="1"/>
  <c r="D147" i="3"/>
  <c r="E147" i="3" s="1"/>
  <c r="C149" i="3" l="1"/>
  <c r="D148" i="3"/>
  <c r="E148" i="3" s="1"/>
  <c r="C150" i="3" l="1"/>
  <c r="D149" i="3"/>
  <c r="E149" i="3" s="1"/>
  <c r="C151" i="3" l="1"/>
  <c r="D150" i="3"/>
  <c r="E150" i="3" s="1"/>
  <c r="C152" i="3" l="1"/>
  <c r="D151" i="3"/>
  <c r="E151" i="3" s="1"/>
  <c r="C153" i="3" l="1"/>
  <c r="D152" i="3"/>
  <c r="E152" i="3" s="1"/>
  <c r="C154" i="3" l="1"/>
  <c r="D153" i="3"/>
  <c r="E153" i="3" s="1"/>
  <c r="C155" i="3" l="1"/>
  <c r="D154" i="3"/>
  <c r="E154" i="3" s="1"/>
  <c r="C156" i="3" l="1"/>
  <c r="D155" i="3"/>
  <c r="E155" i="3" s="1"/>
  <c r="C157" i="3" l="1"/>
  <c r="D156" i="3"/>
  <c r="E156" i="3" s="1"/>
  <c r="C158" i="3" l="1"/>
  <c r="D157" i="3"/>
  <c r="E157" i="3" s="1"/>
  <c r="C159" i="3" l="1"/>
  <c r="D158" i="3"/>
  <c r="E158" i="3" s="1"/>
  <c r="C160" i="3" l="1"/>
  <c r="D159" i="3"/>
  <c r="E159" i="3" s="1"/>
  <c r="C161" i="3" l="1"/>
  <c r="D160" i="3"/>
  <c r="E160" i="3" s="1"/>
  <c r="C162" i="3" l="1"/>
  <c r="D161" i="3"/>
  <c r="E161" i="3" s="1"/>
  <c r="C163" i="3" l="1"/>
  <c r="D162" i="3"/>
  <c r="E162" i="3" s="1"/>
  <c r="C164" i="3" l="1"/>
  <c r="D163" i="3"/>
  <c r="E163" i="3" s="1"/>
  <c r="C165" i="3" l="1"/>
  <c r="D164" i="3"/>
  <c r="E164" i="3" s="1"/>
  <c r="C166" i="3" l="1"/>
  <c r="D165" i="3"/>
  <c r="E165" i="3" s="1"/>
  <c r="C167" i="3" l="1"/>
  <c r="D166" i="3"/>
  <c r="E166" i="3" s="1"/>
  <c r="C168" i="3" l="1"/>
  <c r="D167" i="3"/>
  <c r="E167" i="3" s="1"/>
  <c r="C169" i="3" l="1"/>
  <c r="D168" i="3"/>
  <c r="E168" i="3" s="1"/>
  <c r="C170" i="3" l="1"/>
  <c r="D169" i="3"/>
  <c r="E169" i="3" s="1"/>
  <c r="C171" i="3" l="1"/>
  <c r="D170" i="3"/>
  <c r="E170" i="3" s="1"/>
  <c r="C172" i="3" l="1"/>
  <c r="D171" i="3"/>
  <c r="E171" i="3" s="1"/>
  <c r="C173" i="3" l="1"/>
  <c r="D172" i="3"/>
  <c r="E172" i="3" s="1"/>
  <c r="C174" i="3" l="1"/>
  <c r="D173" i="3"/>
  <c r="E173" i="3" s="1"/>
  <c r="C175" i="3" l="1"/>
  <c r="D174" i="3"/>
  <c r="E174" i="3" s="1"/>
  <c r="C176" i="3" l="1"/>
  <c r="D175" i="3"/>
  <c r="E175" i="3" s="1"/>
  <c r="C177" i="3" l="1"/>
  <c r="D176" i="3"/>
  <c r="E176" i="3" s="1"/>
  <c r="C178" i="3" l="1"/>
  <c r="D177" i="3"/>
  <c r="E177" i="3" s="1"/>
  <c r="C179" i="3" l="1"/>
  <c r="D178" i="3"/>
  <c r="E178" i="3" s="1"/>
  <c r="C180" i="3" l="1"/>
  <c r="D179" i="3"/>
  <c r="E179" i="3" s="1"/>
  <c r="C181" i="3" l="1"/>
  <c r="D180" i="3"/>
  <c r="E180" i="3" s="1"/>
  <c r="C182" i="3" l="1"/>
  <c r="D181" i="3"/>
  <c r="E181" i="3" s="1"/>
  <c r="C183" i="3" l="1"/>
  <c r="D182" i="3"/>
  <c r="E182" i="3" s="1"/>
  <c r="C184" i="3" l="1"/>
  <c r="D183" i="3"/>
  <c r="E183" i="3" s="1"/>
  <c r="C185" i="3" l="1"/>
  <c r="D184" i="3"/>
  <c r="E184" i="3" s="1"/>
  <c r="C186" i="3" l="1"/>
  <c r="D185" i="3"/>
  <c r="E185" i="3" s="1"/>
  <c r="C187" i="3" l="1"/>
  <c r="D186" i="3"/>
  <c r="E186" i="3" s="1"/>
  <c r="C188" i="3" l="1"/>
  <c r="D187" i="3"/>
  <c r="E187" i="3" s="1"/>
  <c r="C189" i="3" l="1"/>
  <c r="D188" i="3"/>
  <c r="E188" i="3" s="1"/>
  <c r="C190" i="3" l="1"/>
  <c r="D189" i="3"/>
  <c r="E189" i="3" s="1"/>
  <c r="C191" i="3" l="1"/>
  <c r="D190" i="3"/>
  <c r="E190" i="3" s="1"/>
  <c r="C192" i="3" l="1"/>
  <c r="D191" i="3"/>
  <c r="E191" i="3" s="1"/>
  <c r="C193" i="3" l="1"/>
  <c r="D192" i="3"/>
  <c r="E192" i="3" s="1"/>
  <c r="C194" i="3" l="1"/>
  <c r="D193" i="3"/>
  <c r="E193" i="3" s="1"/>
  <c r="C195" i="3" l="1"/>
  <c r="D194" i="3"/>
  <c r="E194" i="3" s="1"/>
  <c r="C196" i="3" l="1"/>
  <c r="D195" i="3"/>
  <c r="E195" i="3" s="1"/>
  <c r="C197" i="3" l="1"/>
  <c r="D196" i="3"/>
  <c r="E196" i="3" s="1"/>
  <c r="C198" i="3" l="1"/>
  <c r="D197" i="3"/>
  <c r="E197" i="3" s="1"/>
  <c r="C199" i="3" l="1"/>
  <c r="D198" i="3"/>
  <c r="E198" i="3" s="1"/>
  <c r="C200" i="3" l="1"/>
  <c r="D199" i="3"/>
  <c r="E199" i="3" s="1"/>
  <c r="C201" i="3" l="1"/>
  <c r="D200" i="3"/>
  <c r="E200" i="3" s="1"/>
  <c r="C202" i="3" l="1"/>
  <c r="D201" i="3"/>
  <c r="E201" i="3" s="1"/>
  <c r="C203" i="3" l="1"/>
  <c r="D202" i="3"/>
  <c r="E202" i="3" s="1"/>
  <c r="C204" i="3" l="1"/>
  <c r="D203" i="3"/>
  <c r="E203" i="3" s="1"/>
  <c r="C205" i="3" l="1"/>
  <c r="D204" i="3"/>
  <c r="E204" i="3" s="1"/>
  <c r="C206" i="3" l="1"/>
  <c r="D205" i="3"/>
  <c r="E205" i="3" s="1"/>
  <c r="C207" i="3" l="1"/>
  <c r="D206" i="3"/>
  <c r="E206" i="3" s="1"/>
  <c r="C208" i="3" l="1"/>
  <c r="D207" i="3"/>
  <c r="E207" i="3" s="1"/>
  <c r="C209" i="3" l="1"/>
  <c r="D208" i="3"/>
  <c r="E208" i="3" s="1"/>
  <c r="C210" i="3" l="1"/>
  <c r="D209" i="3"/>
  <c r="E209" i="3" s="1"/>
  <c r="C211" i="3" l="1"/>
  <c r="D210" i="3"/>
  <c r="E210" i="3" s="1"/>
  <c r="C212" i="3" l="1"/>
  <c r="D211" i="3"/>
  <c r="E211" i="3" s="1"/>
  <c r="C213" i="3" l="1"/>
  <c r="D212" i="3"/>
  <c r="E212" i="3" s="1"/>
  <c r="C214" i="3" l="1"/>
  <c r="D213" i="3"/>
  <c r="E213" i="3" s="1"/>
  <c r="C215" i="3" l="1"/>
  <c r="D214" i="3"/>
  <c r="E214" i="3" s="1"/>
  <c r="C216" i="3" l="1"/>
  <c r="D215" i="3"/>
  <c r="E215" i="3" s="1"/>
  <c r="C217" i="3" l="1"/>
  <c r="D216" i="3"/>
  <c r="E216" i="3" s="1"/>
  <c r="C218" i="3" l="1"/>
  <c r="D217" i="3"/>
  <c r="E217" i="3" s="1"/>
  <c r="C219" i="3" l="1"/>
  <c r="D218" i="3"/>
  <c r="E218" i="3" s="1"/>
  <c r="C220" i="3" l="1"/>
  <c r="D219" i="3"/>
  <c r="E219" i="3" s="1"/>
  <c r="C221" i="3" l="1"/>
  <c r="D220" i="3"/>
  <c r="E220" i="3" s="1"/>
  <c r="C222" i="3" l="1"/>
  <c r="D221" i="3"/>
  <c r="E221" i="3" s="1"/>
  <c r="C223" i="3" l="1"/>
  <c r="D222" i="3"/>
  <c r="E222" i="3" s="1"/>
  <c r="C224" i="3" l="1"/>
  <c r="D223" i="3"/>
  <c r="E223" i="3" s="1"/>
  <c r="C225" i="3" l="1"/>
  <c r="D224" i="3"/>
  <c r="E224" i="3" s="1"/>
  <c r="C226" i="3" l="1"/>
  <c r="D225" i="3"/>
  <c r="E225" i="3" s="1"/>
  <c r="C227" i="3" l="1"/>
  <c r="D226" i="3"/>
  <c r="E226" i="3" s="1"/>
  <c r="C228" i="3" l="1"/>
  <c r="D227" i="3"/>
  <c r="E227" i="3" s="1"/>
  <c r="C229" i="3" l="1"/>
  <c r="D228" i="3"/>
  <c r="E228" i="3" s="1"/>
  <c r="C230" i="3" l="1"/>
  <c r="D229" i="3"/>
  <c r="E229" i="3" s="1"/>
  <c r="C231" i="3" l="1"/>
  <c r="D230" i="3"/>
  <c r="E230" i="3" s="1"/>
  <c r="C232" i="3" l="1"/>
  <c r="D231" i="3"/>
  <c r="E231" i="3" s="1"/>
  <c r="C233" i="3" l="1"/>
  <c r="D232" i="3"/>
  <c r="E232" i="3" s="1"/>
  <c r="C234" i="3" l="1"/>
  <c r="D233" i="3"/>
  <c r="E233" i="3" s="1"/>
  <c r="C235" i="3" l="1"/>
  <c r="D234" i="3"/>
  <c r="E234" i="3" s="1"/>
  <c r="C236" i="3" l="1"/>
  <c r="D235" i="3"/>
  <c r="E235" i="3" s="1"/>
  <c r="C237" i="3" l="1"/>
  <c r="D236" i="3"/>
  <c r="E236" i="3" s="1"/>
  <c r="C238" i="3" l="1"/>
  <c r="D237" i="3"/>
  <c r="E237" i="3" s="1"/>
  <c r="C239" i="3" l="1"/>
  <c r="D238" i="3"/>
  <c r="E238" i="3" s="1"/>
  <c r="C240" i="3" l="1"/>
  <c r="D239" i="3"/>
  <c r="E239" i="3" s="1"/>
  <c r="C241" i="3" l="1"/>
  <c r="D240" i="3"/>
  <c r="E240" i="3" s="1"/>
  <c r="C242" i="3" l="1"/>
  <c r="D241" i="3"/>
  <c r="E241" i="3" s="1"/>
  <c r="C243" i="3" l="1"/>
  <c r="D242" i="3"/>
  <c r="E242" i="3" s="1"/>
  <c r="C244" i="3" l="1"/>
  <c r="D243" i="3"/>
  <c r="E243" i="3" s="1"/>
  <c r="C245" i="3" l="1"/>
  <c r="D244" i="3"/>
  <c r="E244" i="3" s="1"/>
  <c r="C246" i="3" l="1"/>
  <c r="D245" i="3"/>
  <c r="E245" i="3" s="1"/>
  <c r="C247" i="3" l="1"/>
  <c r="D246" i="3"/>
  <c r="E246" i="3" s="1"/>
  <c r="C248" i="3" l="1"/>
  <c r="D247" i="3"/>
  <c r="E247" i="3" s="1"/>
  <c r="C249" i="3" l="1"/>
  <c r="D248" i="3"/>
  <c r="E248" i="3" s="1"/>
  <c r="C250" i="3" l="1"/>
  <c r="D249" i="3"/>
  <c r="E249" i="3" s="1"/>
  <c r="C251" i="3" l="1"/>
  <c r="D250" i="3"/>
  <c r="E250" i="3" s="1"/>
  <c r="C252" i="3" l="1"/>
  <c r="D251" i="3"/>
  <c r="E251" i="3" s="1"/>
  <c r="C253" i="3" l="1"/>
  <c r="D252" i="3"/>
  <c r="E252" i="3" s="1"/>
  <c r="C254" i="3" l="1"/>
  <c r="D253" i="3"/>
  <c r="E253" i="3" s="1"/>
  <c r="C255" i="3" l="1"/>
  <c r="D254" i="3"/>
  <c r="E254" i="3" s="1"/>
  <c r="C256" i="3" l="1"/>
  <c r="D255" i="3"/>
  <c r="E255" i="3" s="1"/>
  <c r="C257" i="3" l="1"/>
  <c r="D256" i="3"/>
  <c r="E256" i="3" s="1"/>
  <c r="C258" i="3" l="1"/>
  <c r="D257" i="3"/>
  <c r="E257" i="3" s="1"/>
  <c r="C259" i="3" l="1"/>
  <c r="D258" i="3"/>
  <c r="E258" i="3" s="1"/>
  <c r="C260" i="3" l="1"/>
  <c r="D259" i="3"/>
  <c r="E259" i="3" s="1"/>
  <c r="C261" i="3" l="1"/>
  <c r="D260" i="3"/>
  <c r="E260" i="3" s="1"/>
  <c r="C262" i="3" l="1"/>
  <c r="D261" i="3"/>
  <c r="E261" i="3" s="1"/>
  <c r="C263" i="3" l="1"/>
  <c r="D262" i="3"/>
  <c r="E262" i="3" s="1"/>
  <c r="C264" i="3" l="1"/>
  <c r="D263" i="3"/>
  <c r="E263" i="3" s="1"/>
  <c r="C265" i="3" l="1"/>
  <c r="D264" i="3"/>
  <c r="E264" i="3" s="1"/>
  <c r="C266" i="3" l="1"/>
  <c r="D265" i="3"/>
  <c r="E265" i="3" s="1"/>
  <c r="C267" i="3" l="1"/>
  <c r="D266" i="3"/>
  <c r="E266" i="3" s="1"/>
  <c r="C268" i="3" l="1"/>
  <c r="D267" i="3"/>
  <c r="E267" i="3" s="1"/>
  <c r="C269" i="3" l="1"/>
  <c r="D268" i="3"/>
  <c r="E268" i="3" s="1"/>
  <c r="C270" i="3" l="1"/>
  <c r="D269" i="3"/>
  <c r="E269" i="3" s="1"/>
  <c r="C271" i="3" l="1"/>
  <c r="D270" i="3"/>
  <c r="E270" i="3" s="1"/>
  <c r="C272" i="3" l="1"/>
  <c r="D271" i="3"/>
  <c r="E271" i="3" s="1"/>
  <c r="C273" i="3" l="1"/>
  <c r="D272" i="3"/>
  <c r="E272" i="3" s="1"/>
  <c r="C274" i="3" l="1"/>
  <c r="D273" i="3"/>
  <c r="E273" i="3" s="1"/>
  <c r="C275" i="3" l="1"/>
  <c r="D274" i="3"/>
  <c r="E274" i="3" s="1"/>
  <c r="C276" i="3" l="1"/>
  <c r="D275" i="3"/>
  <c r="E275" i="3" s="1"/>
  <c r="C277" i="3" l="1"/>
  <c r="D276" i="3"/>
  <c r="E276" i="3" s="1"/>
  <c r="C278" i="3" l="1"/>
  <c r="D277" i="3"/>
  <c r="E277" i="3" s="1"/>
  <c r="C279" i="3" l="1"/>
  <c r="D278" i="3"/>
  <c r="E278" i="3" s="1"/>
  <c r="C280" i="3" l="1"/>
  <c r="D279" i="3"/>
  <c r="E279" i="3" s="1"/>
  <c r="C281" i="3" l="1"/>
  <c r="D280" i="3"/>
  <c r="E280" i="3" s="1"/>
  <c r="C282" i="3" l="1"/>
  <c r="D281" i="3"/>
  <c r="E281" i="3" s="1"/>
  <c r="C283" i="3" l="1"/>
  <c r="D282" i="3"/>
  <c r="E282" i="3" s="1"/>
  <c r="C284" i="3" l="1"/>
  <c r="D283" i="3"/>
  <c r="E283" i="3" s="1"/>
  <c r="C285" i="3" l="1"/>
  <c r="D284" i="3"/>
  <c r="E284" i="3" s="1"/>
  <c r="C286" i="3" l="1"/>
  <c r="D285" i="3"/>
  <c r="E285" i="3" s="1"/>
  <c r="C287" i="3" l="1"/>
  <c r="D286" i="3"/>
  <c r="E286" i="3" s="1"/>
  <c r="C288" i="3" l="1"/>
  <c r="D287" i="3"/>
  <c r="E287" i="3" s="1"/>
  <c r="C289" i="3" l="1"/>
  <c r="D288" i="3"/>
  <c r="E288" i="3" s="1"/>
  <c r="C290" i="3" l="1"/>
  <c r="D289" i="3"/>
  <c r="E289" i="3" s="1"/>
  <c r="C291" i="3" l="1"/>
  <c r="D290" i="3"/>
  <c r="E290" i="3" s="1"/>
  <c r="C292" i="3" l="1"/>
  <c r="D291" i="3"/>
  <c r="E291" i="3" s="1"/>
  <c r="C293" i="3" l="1"/>
  <c r="D292" i="3"/>
  <c r="E292" i="3" s="1"/>
  <c r="C294" i="3" l="1"/>
  <c r="D293" i="3"/>
  <c r="E293" i="3" s="1"/>
  <c r="C295" i="3" l="1"/>
  <c r="D294" i="3"/>
  <c r="E294" i="3" s="1"/>
  <c r="C296" i="3" l="1"/>
  <c r="D295" i="3"/>
  <c r="E295" i="3" s="1"/>
  <c r="C297" i="3" l="1"/>
  <c r="D296" i="3"/>
  <c r="E296" i="3" s="1"/>
  <c r="C298" i="3" l="1"/>
  <c r="D297" i="3"/>
  <c r="E297" i="3" s="1"/>
  <c r="C299" i="3" l="1"/>
  <c r="D298" i="3"/>
  <c r="E298" i="3" s="1"/>
  <c r="C300" i="3" l="1"/>
  <c r="D299" i="3"/>
  <c r="E299" i="3" s="1"/>
  <c r="C301" i="3" l="1"/>
  <c r="D300" i="3"/>
  <c r="E300" i="3" s="1"/>
  <c r="C302" i="3" l="1"/>
  <c r="D301" i="3"/>
  <c r="E301" i="3" s="1"/>
  <c r="C303" i="3" l="1"/>
  <c r="D302" i="3"/>
  <c r="E302" i="3" s="1"/>
  <c r="C304" i="3" l="1"/>
  <c r="D303" i="3"/>
  <c r="E303" i="3" s="1"/>
  <c r="C305" i="3" l="1"/>
  <c r="D304" i="3"/>
  <c r="E304" i="3" s="1"/>
  <c r="C306" i="3" l="1"/>
  <c r="D305" i="3"/>
  <c r="E305" i="3" s="1"/>
  <c r="C307" i="3" l="1"/>
  <c r="D306" i="3"/>
  <c r="E306" i="3" s="1"/>
  <c r="C308" i="3" l="1"/>
  <c r="D307" i="3"/>
  <c r="E307" i="3" s="1"/>
  <c r="C309" i="3" l="1"/>
  <c r="D308" i="3"/>
  <c r="E308" i="3" s="1"/>
  <c r="C310" i="3" l="1"/>
  <c r="D309" i="3"/>
  <c r="E309" i="3" s="1"/>
  <c r="C311" i="3" l="1"/>
  <c r="D310" i="3"/>
  <c r="E310" i="3" s="1"/>
  <c r="C312" i="3" l="1"/>
  <c r="D311" i="3"/>
  <c r="E311" i="3" s="1"/>
  <c r="C313" i="3" l="1"/>
  <c r="D312" i="3"/>
  <c r="E312" i="3" s="1"/>
  <c r="C314" i="3" l="1"/>
  <c r="D313" i="3"/>
  <c r="E313" i="3" s="1"/>
  <c r="C315" i="3" l="1"/>
  <c r="D314" i="3"/>
  <c r="E314" i="3" s="1"/>
  <c r="C316" i="3" l="1"/>
  <c r="D315" i="3"/>
  <c r="E315" i="3" s="1"/>
  <c r="C317" i="3" l="1"/>
  <c r="D316" i="3"/>
  <c r="E316" i="3" s="1"/>
  <c r="C318" i="3" l="1"/>
  <c r="D317" i="3"/>
  <c r="E317" i="3" s="1"/>
  <c r="C319" i="3" l="1"/>
  <c r="D318" i="3"/>
  <c r="E318" i="3" s="1"/>
  <c r="C320" i="3" l="1"/>
  <c r="D319" i="3"/>
  <c r="E319" i="3" s="1"/>
  <c r="C321" i="3" l="1"/>
  <c r="D320" i="3"/>
  <c r="E320" i="3" s="1"/>
  <c r="C322" i="3" l="1"/>
  <c r="D321" i="3"/>
  <c r="E321" i="3" s="1"/>
  <c r="C323" i="3" l="1"/>
  <c r="D322" i="3"/>
  <c r="E322" i="3" s="1"/>
  <c r="C324" i="3" l="1"/>
  <c r="D323" i="3"/>
  <c r="E323" i="3" s="1"/>
  <c r="C325" i="3" l="1"/>
  <c r="D324" i="3"/>
  <c r="E324" i="3" s="1"/>
  <c r="C326" i="3" l="1"/>
  <c r="D325" i="3"/>
  <c r="E325" i="3" s="1"/>
  <c r="C327" i="3" l="1"/>
  <c r="D326" i="3"/>
  <c r="E326" i="3" s="1"/>
  <c r="C328" i="3" l="1"/>
  <c r="D327" i="3"/>
  <c r="E327" i="3" s="1"/>
  <c r="C329" i="3" l="1"/>
  <c r="D328" i="3"/>
  <c r="E328" i="3" s="1"/>
  <c r="C330" i="3" l="1"/>
  <c r="D329" i="3"/>
  <c r="E329" i="3" s="1"/>
  <c r="C331" i="3" l="1"/>
  <c r="D330" i="3"/>
  <c r="E330" i="3" s="1"/>
  <c r="C332" i="3" l="1"/>
  <c r="D331" i="3"/>
  <c r="E331" i="3" s="1"/>
  <c r="C333" i="3" l="1"/>
  <c r="D332" i="3"/>
  <c r="E332" i="3" s="1"/>
  <c r="C334" i="3" l="1"/>
  <c r="D333" i="3"/>
  <c r="E333" i="3" s="1"/>
  <c r="C335" i="3" l="1"/>
  <c r="D334" i="3"/>
  <c r="E334" i="3" s="1"/>
  <c r="C336" i="3" l="1"/>
  <c r="D335" i="3"/>
  <c r="E335" i="3" s="1"/>
  <c r="C337" i="3" l="1"/>
  <c r="D336" i="3"/>
  <c r="E336" i="3" s="1"/>
  <c r="C338" i="3" l="1"/>
  <c r="D337" i="3"/>
  <c r="E337" i="3" s="1"/>
  <c r="C339" i="3" l="1"/>
  <c r="D338" i="3"/>
  <c r="E338" i="3" s="1"/>
  <c r="C340" i="3" l="1"/>
  <c r="D339" i="3"/>
  <c r="E339" i="3" s="1"/>
  <c r="C341" i="3" l="1"/>
  <c r="D340" i="3"/>
  <c r="E340" i="3" s="1"/>
  <c r="C342" i="3" l="1"/>
  <c r="D341" i="3"/>
  <c r="E341" i="3" s="1"/>
  <c r="C343" i="3" l="1"/>
  <c r="D342" i="3"/>
  <c r="E342" i="3" s="1"/>
  <c r="C344" i="3" l="1"/>
  <c r="D343" i="3"/>
  <c r="E343" i="3" s="1"/>
  <c r="C345" i="3" l="1"/>
  <c r="D344" i="3"/>
  <c r="E344" i="3" s="1"/>
  <c r="C346" i="3" l="1"/>
  <c r="D345" i="3"/>
  <c r="E345" i="3" s="1"/>
  <c r="C347" i="3" l="1"/>
  <c r="D346" i="3"/>
  <c r="E346" i="3" s="1"/>
  <c r="C348" i="3" l="1"/>
  <c r="D347" i="3"/>
  <c r="E347" i="3" s="1"/>
  <c r="C349" i="3" l="1"/>
  <c r="D348" i="3"/>
  <c r="E348" i="3" s="1"/>
  <c r="C350" i="3" l="1"/>
  <c r="D349" i="3"/>
  <c r="E349" i="3" s="1"/>
  <c r="C351" i="3" l="1"/>
  <c r="D350" i="3"/>
  <c r="E350" i="3" s="1"/>
  <c r="C352" i="3" l="1"/>
  <c r="D351" i="3"/>
  <c r="E351" i="3" s="1"/>
  <c r="C353" i="3" l="1"/>
  <c r="D352" i="3"/>
  <c r="E352" i="3" s="1"/>
  <c r="C354" i="3" l="1"/>
  <c r="D353" i="3"/>
  <c r="E353" i="3" s="1"/>
  <c r="C355" i="3" l="1"/>
  <c r="D354" i="3"/>
  <c r="E354" i="3" s="1"/>
  <c r="C356" i="3" l="1"/>
  <c r="D355" i="3"/>
  <c r="E355" i="3" s="1"/>
  <c r="C357" i="3" l="1"/>
  <c r="D356" i="3"/>
  <c r="E356" i="3" s="1"/>
  <c r="C358" i="3" l="1"/>
  <c r="D357" i="3"/>
  <c r="E357" i="3" s="1"/>
  <c r="C359" i="3" l="1"/>
  <c r="D358" i="3"/>
  <c r="E358" i="3" s="1"/>
  <c r="C360" i="3" l="1"/>
  <c r="D359" i="3"/>
  <c r="E359" i="3" s="1"/>
  <c r="C361" i="3" l="1"/>
  <c r="D360" i="3"/>
  <c r="E360" i="3" s="1"/>
  <c r="C362" i="3" l="1"/>
  <c r="D361" i="3"/>
  <c r="E361" i="3" s="1"/>
  <c r="C363" i="3" l="1"/>
  <c r="D362" i="3"/>
  <c r="E362" i="3" s="1"/>
  <c r="C364" i="3" l="1"/>
  <c r="D363" i="3"/>
  <c r="E363" i="3" s="1"/>
  <c r="C365" i="3" l="1"/>
  <c r="D364" i="3"/>
  <c r="E364" i="3" s="1"/>
  <c r="C366" i="3" l="1"/>
  <c r="D365" i="3"/>
  <c r="E365" i="3" s="1"/>
  <c r="C367" i="3" l="1"/>
  <c r="D366" i="3"/>
  <c r="E366" i="3" s="1"/>
  <c r="C368" i="3" l="1"/>
  <c r="D367" i="3"/>
  <c r="E367" i="3" s="1"/>
  <c r="C369" i="3" l="1"/>
  <c r="D368" i="3"/>
  <c r="E368" i="3" s="1"/>
  <c r="C370" i="3" l="1"/>
  <c r="D369" i="3"/>
  <c r="E369" i="3" s="1"/>
  <c r="C371" i="3" l="1"/>
  <c r="D370" i="3"/>
  <c r="E370" i="3" s="1"/>
  <c r="C372" i="3" l="1"/>
  <c r="D371" i="3"/>
  <c r="E371" i="3" s="1"/>
  <c r="C373" i="3" l="1"/>
  <c r="D372" i="3"/>
  <c r="E372" i="3" s="1"/>
  <c r="C374" i="3" l="1"/>
  <c r="D373" i="3"/>
  <c r="E373" i="3" s="1"/>
  <c r="C375" i="3" l="1"/>
  <c r="D374" i="3"/>
  <c r="E374" i="3" s="1"/>
  <c r="C376" i="3" l="1"/>
  <c r="D375" i="3"/>
  <c r="E375" i="3" s="1"/>
  <c r="C377" i="3" l="1"/>
  <c r="D376" i="3"/>
  <c r="E376" i="3" s="1"/>
  <c r="C378" i="3" l="1"/>
  <c r="D377" i="3"/>
  <c r="E377" i="3" s="1"/>
  <c r="C379" i="3" l="1"/>
  <c r="D378" i="3"/>
  <c r="E378" i="3" s="1"/>
  <c r="C380" i="3" l="1"/>
  <c r="D379" i="3"/>
  <c r="E379" i="3" s="1"/>
  <c r="C381" i="3" l="1"/>
  <c r="D380" i="3"/>
  <c r="E380" i="3" s="1"/>
  <c r="C382" i="3" l="1"/>
  <c r="D381" i="3"/>
  <c r="E381" i="3" s="1"/>
  <c r="C383" i="3" l="1"/>
  <c r="D382" i="3"/>
  <c r="E382" i="3" s="1"/>
  <c r="C384" i="3" l="1"/>
  <c r="D383" i="3"/>
  <c r="E383" i="3" s="1"/>
  <c r="C385" i="3" l="1"/>
  <c r="D384" i="3"/>
  <c r="E384" i="3" s="1"/>
  <c r="C386" i="3" l="1"/>
  <c r="D385" i="3"/>
  <c r="E385" i="3" s="1"/>
  <c r="C387" i="3" l="1"/>
  <c r="D386" i="3"/>
  <c r="E386" i="3" s="1"/>
  <c r="C388" i="3" l="1"/>
  <c r="D387" i="3"/>
  <c r="E387" i="3" s="1"/>
  <c r="C389" i="3" l="1"/>
  <c r="D388" i="3"/>
  <c r="E388" i="3" s="1"/>
  <c r="C390" i="3" l="1"/>
  <c r="D389" i="3"/>
  <c r="E389" i="3" s="1"/>
  <c r="C391" i="3" l="1"/>
  <c r="D390" i="3"/>
  <c r="E390" i="3" s="1"/>
  <c r="C392" i="3" l="1"/>
  <c r="D391" i="3"/>
  <c r="E391" i="3" s="1"/>
  <c r="C393" i="3" l="1"/>
  <c r="D392" i="3"/>
  <c r="E392" i="3" s="1"/>
  <c r="C394" i="3" l="1"/>
  <c r="D393" i="3"/>
  <c r="E393" i="3" s="1"/>
  <c r="C395" i="3" l="1"/>
  <c r="D394" i="3"/>
  <c r="E394" i="3" s="1"/>
  <c r="C396" i="3" l="1"/>
  <c r="D395" i="3"/>
  <c r="E395" i="3" s="1"/>
  <c r="C397" i="3" l="1"/>
  <c r="D396" i="3"/>
  <c r="E396" i="3" s="1"/>
  <c r="C398" i="3" l="1"/>
  <c r="D397" i="3"/>
  <c r="E397" i="3" s="1"/>
  <c r="C399" i="3" l="1"/>
  <c r="D398" i="3"/>
  <c r="E398" i="3" s="1"/>
  <c r="C400" i="3" l="1"/>
  <c r="D399" i="3"/>
  <c r="E399" i="3" s="1"/>
  <c r="C401" i="3" l="1"/>
  <c r="D400" i="3"/>
  <c r="E400" i="3" s="1"/>
  <c r="C402" i="3" l="1"/>
  <c r="D401" i="3"/>
  <c r="E401" i="3" s="1"/>
  <c r="C403" i="3" l="1"/>
  <c r="D402" i="3"/>
  <c r="E402" i="3" s="1"/>
  <c r="C404" i="3" l="1"/>
  <c r="D403" i="3"/>
  <c r="E403" i="3" s="1"/>
  <c r="C405" i="3" l="1"/>
  <c r="D404" i="3"/>
  <c r="E404" i="3" s="1"/>
  <c r="C406" i="3" l="1"/>
  <c r="D405" i="3"/>
  <c r="E405" i="3" s="1"/>
  <c r="C407" i="3" l="1"/>
  <c r="D406" i="3"/>
  <c r="E406" i="3" s="1"/>
  <c r="C408" i="3" l="1"/>
  <c r="D407" i="3"/>
  <c r="E407" i="3" s="1"/>
  <c r="C409" i="3" l="1"/>
  <c r="D408" i="3"/>
  <c r="E408" i="3" s="1"/>
  <c r="C410" i="3" l="1"/>
  <c r="D409" i="3"/>
  <c r="E409" i="3" s="1"/>
  <c r="C411" i="3" l="1"/>
  <c r="D410" i="3"/>
  <c r="E410" i="3" s="1"/>
  <c r="C412" i="3" l="1"/>
  <c r="D411" i="3"/>
  <c r="E411" i="3" s="1"/>
  <c r="C413" i="3" l="1"/>
  <c r="D412" i="3"/>
  <c r="E412" i="3" s="1"/>
  <c r="C414" i="3" l="1"/>
  <c r="D413" i="3"/>
  <c r="E413" i="3" s="1"/>
  <c r="C415" i="3" l="1"/>
  <c r="D414" i="3"/>
  <c r="E414" i="3" s="1"/>
  <c r="C416" i="3" l="1"/>
  <c r="D415" i="3"/>
  <c r="E415" i="3" s="1"/>
  <c r="C417" i="3" l="1"/>
  <c r="D416" i="3"/>
  <c r="E416" i="3" s="1"/>
  <c r="C418" i="3" l="1"/>
  <c r="D417" i="3"/>
  <c r="E417" i="3" s="1"/>
  <c r="C419" i="3" l="1"/>
  <c r="D418" i="3"/>
  <c r="E418" i="3" s="1"/>
  <c r="C420" i="3" l="1"/>
  <c r="D419" i="3"/>
  <c r="E419" i="3" s="1"/>
  <c r="C421" i="3" l="1"/>
  <c r="D420" i="3"/>
  <c r="E420" i="3" s="1"/>
  <c r="C422" i="3" l="1"/>
  <c r="D421" i="3"/>
  <c r="E421" i="3" s="1"/>
  <c r="C423" i="3" l="1"/>
  <c r="D422" i="3"/>
  <c r="E422" i="3" s="1"/>
  <c r="C424" i="3" l="1"/>
  <c r="D423" i="3"/>
  <c r="E423" i="3" s="1"/>
  <c r="C425" i="3" l="1"/>
  <c r="D424" i="3"/>
  <c r="E424" i="3" s="1"/>
  <c r="C426" i="3" l="1"/>
  <c r="D425" i="3"/>
  <c r="E425" i="3" s="1"/>
  <c r="C427" i="3" l="1"/>
  <c r="D426" i="3"/>
  <c r="E426" i="3" s="1"/>
  <c r="C428" i="3" l="1"/>
  <c r="D427" i="3"/>
  <c r="E427" i="3" s="1"/>
  <c r="C429" i="3" l="1"/>
  <c r="D428" i="3"/>
  <c r="E428" i="3" s="1"/>
  <c r="C430" i="3" l="1"/>
  <c r="D429" i="3"/>
  <c r="E429" i="3" s="1"/>
  <c r="C431" i="3" l="1"/>
  <c r="D430" i="3"/>
  <c r="E430" i="3" s="1"/>
  <c r="C432" i="3" l="1"/>
  <c r="D431" i="3"/>
  <c r="E431" i="3" s="1"/>
  <c r="C433" i="3" l="1"/>
  <c r="D432" i="3"/>
  <c r="E432" i="3" s="1"/>
  <c r="C434" i="3" l="1"/>
  <c r="D433" i="3"/>
  <c r="E433" i="3" s="1"/>
  <c r="C435" i="3" l="1"/>
  <c r="D434" i="3"/>
  <c r="E434" i="3" s="1"/>
  <c r="C436" i="3" l="1"/>
  <c r="D435" i="3"/>
  <c r="E435" i="3" s="1"/>
  <c r="C437" i="3" l="1"/>
  <c r="D436" i="3"/>
  <c r="E436" i="3" s="1"/>
  <c r="C438" i="3" l="1"/>
  <c r="D437" i="3"/>
  <c r="E437" i="3" s="1"/>
  <c r="C439" i="3" l="1"/>
  <c r="D438" i="3"/>
  <c r="E438" i="3" s="1"/>
  <c r="C440" i="3" l="1"/>
  <c r="D439" i="3"/>
  <c r="E439" i="3" s="1"/>
  <c r="C441" i="3" l="1"/>
  <c r="D440" i="3"/>
  <c r="E440" i="3" s="1"/>
  <c r="C442" i="3" l="1"/>
  <c r="D441" i="3"/>
  <c r="E441" i="3" s="1"/>
  <c r="C443" i="3" l="1"/>
  <c r="D442" i="3"/>
  <c r="E442" i="3" s="1"/>
  <c r="C444" i="3" l="1"/>
  <c r="D443" i="3"/>
  <c r="E443" i="3" s="1"/>
  <c r="C445" i="3" l="1"/>
  <c r="D444" i="3"/>
  <c r="E444" i="3" s="1"/>
  <c r="C446" i="3" l="1"/>
  <c r="D445" i="3"/>
  <c r="E445" i="3" s="1"/>
  <c r="C447" i="3" l="1"/>
  <c r="D446" i="3"/>
  <c r="E446" i="3" s="1"/>
  <c r="C448" i="3" l="1"/>
  <c r="D447" i="3"/>
  <c r="E447" i="3" s="1"/>
  <c r="C449" i="3" l="1"/>
  <c r="D448" i="3"/>
  <c r="E448" i="3" s="1"/>
  <c r="C450" i="3" l="1"/>
  <c r="D449" i="3"/>
  <c r="E449" i="3" s="1"/>
  <c r="C451" i="3" l="1"/>
  <c r="D450" i="3"/>
  <c r="E450" i="3" s="1"/>
  <c r="C452" i="3" l="1"/>
  <c r="D451" i="3"/>
  <c r="E451" i="3" s="1"/>
  <c r="C453" i="3" l="1"/>
  <c r="D452" i="3"/>
  <c r="E452" i="3" s="1"/>
  <c r="C454" i="3" l="1"/>
  <c r="D453" i="3"/>
  <c r="E453" i="3" s="1"/>
  <c r="C455" i="3" l="1"/>
  <c r="D454" i="3"/>
  <c r="E454" i="3" s="1"/>
  <c r="C456" i="3" l="1"/>
  <c r="D455" i="3"/>
  <c r="E455" i="3" s="1"/>
  <c r="C457" i="3" l="1"/>
  <c r="D456" i="3"/>
  <c r="E456" i="3" s="1"/>
  <c r="C458" i="3" l="1"/>
  <c r="D457" i="3"/>
  <c r="E457" i="3" s="1"/>
  <c r="C459" i="3" l="1"/>
  <c r="D458" i="3"/>
  <c r="E458" i="3" s="1"/>
  <c r="C460" i="3" l="1"/>
  <c r="D459" i="3"/>
  <c r="E459" i="3" s="1"/>
  <c r="C461" i="3" l="1"/>
  <c r="D460" i="3"/>
  <c r="E460" i="3" s="1"/>
  <c r="C462" i="3" l="1"/>
  <c r="D461" i="3"/>
  <c r="E461" i="3" s="1"/>
  <c r="C463" i="3" l="1"/>
  <c r="D462" i="3"/>
  <c r="E462" i="3" s="1"/>
  <c r="C464" i="3" l="1"/>
  <c r="D463" i="3"/>
  <c r="E463" i="3" s="1"/>
  <c r="C465" i="3" l="1"/>
  <c r="D464" i="3"/>
  <c r="E464" i="3" s="1"/>
  <c r="C466" i="3" l="1"/>
  <c r="D465" i="3"/>
  <c r="E465" i="3" s="1"/>
  <c r="C467" i="3" l="1"/>
  <c r="D466" i="3"/>
  <c r="E466" i="3" s="1"/>
  <c r="C468" i="3" l="1"/>
  <c r="D467" i="3"/>
  <c r="E467" i="3" s="1"/>
  <c r="C469" i="3" l="1"/>
  <c r="D468" i="3"/>
  <c r="E468" i="3" s="1"/>
  <c r="C470" i="3" l="1"/>
  <c r="D469" i="3"/>
  <c r="E469" i="3" s="1"/>
  <c r="C471" i="3" l="1"/>
  <c r="D470" i="3"/>
  <c r="E470" i="3" s="1"/>
  <c r="C472" i="3" l="1"/>
  <c r="D471" i="3"/>
  <c r="E471" i="3" s="1"/>
  <c r="C473" i="3" l="1"/>
  <c r="D472" i="3"/>
  <c r="E472" i="3" s="1"/>
  <c r="C474" i="3" l="1"/>
  <c r="D473" i="3"/>
  <c r="E473" i="3" s="1"/>
  <c r="C475" i="3" l="1"/>
  <c r="D474" i="3"/>
  <c r="E474" i="3" s="1"/>
  <c r="C476" i="3" l="1"/>
  <c r="D475" i="3"/>
  <c r="E475" i="3" s="1"/>
  <c r="C477" i="3" l="1"/>
  <c r="D476" i="3"/>
  <c r="E476" i="3" s="1"/>
  <c r="C478" i="3" l="1"/>
  <c r="D477" i="3"/>
  <c r="E477" i="3" s="1"/>
  <c r="C479" i="3" l="1"/>
  <c r="D478" i="3"/>
  <c r="E478" i="3" s="1"/>
  <c r="C480" i="3" l="1"/>
  <c r="D479" i="3"/>
  <c r="E479" i="3" s="1"/>
  <c r="C481" i="3" l="1"/>
  <c r="D480" i="3"/>
  <c r="E480" i="3" s="1"/>
  <c r="C482" i="3" l="1"/>
  <c r="D481" i="3"/>
  <c r="E481" i="3" s="1"/>
  <c r="C483" i="3" l="1"/>
  <c r="D482" i="3"/>
  <c r="E482" i="3" s="1"/>
  <c r="C484" i="3" l="1"/>
  <c r="D483" i="3"/>
  <c r="E483" i="3" s="1"/>
  <c r="C485" i="3" l="1"/>
  <c r="D484" i="3"/>
  <c r="E484" i="3" s="1"/>
  <c r="C486" i="3" l="1"/>
  <c r="D485" i="3"/>
  <c r="E485" i="3" s="1"/>
  <c r="C487" i="3" l="1"/>
  <c r="D486" i="3"/>
  <c r="E486" i="3" s="1"/>
  <c r="C488" i="3" l="1"/>
  <c r="D487" i="3"/>
  <c r="E487" i="3" s="1"/>
  <c r="C489" i="3" l="1"/>
  <c r="D488" i="3"/>
  <c r="E488" i="3" s="1"/>
  <c r="C490" i="3" l="1"/>
  <c r="D489" i="3"/>
  <c r="E489" i="3" s="1"/>
  <c r="C491" i="3" l="1"/>
  <c r="D490" i="3"/>
  <c r="E490" i="3" s="1"/>
  <c r="C492" i="3" l="1"/>
  <c r="D491" i="3"/>
  <c r="E491" i="3" s="1"/>
  <c r="C493" i="3" l="1"/>
  <c r="D492" i="3"/>
  <c r="E492" i="3" s="1"/>
  <c r="C494" i="3" l="1"/>
  <c r="D493" i="3"/>
  <c r="E493" i="3" s="1"/>
  <c r="C495" i="3" l="1"/>
  <c r="D494" i="3"/>
  <c r="E494" i="3" s="1"/>
  <c r="C496" i="3" l="1"/>
  <c r="D495" i="3"/>
  <c r="E495" i="3" s="1"/>
  <c r="C497" i="3" l="1"/>
  <c r="D496" i="3"/>
  <c r="E496" i="3" s="1"/>
  <c r="C498" i="3" l="1"/>
  <c r="D497" i="3"/>
  <c r="E497" i="3" s="1"/>
  <c r="C499" i="3" l="1"/>
  <c r="D498" i="3"/>
  <c r="E498" i="3" s="1"/>
  <c r="C500" i="3" l="1"/>
  <c r="D499" i="3"/>
  <c r="E499" i="3" s="1"/>
  <c r="C501" i="3" l="1"/>
  <c r="D500" i="3"/>
  <c r="E500" i="3" s="1"/>
  <c r="C502" i="3" l="1"/>
  <c r="D501" i="3"/>
  <c r="E501" i="3" s="1"/>
  <c r="C503" i="3" l="1"/>
  <c r="D502" i="3"/>
  <c r="E502" i="3" s="1"/>
  <c r="C504" i="3" l="1"/>
  <c r="D503" i="3"/>
  <c r="E503" i="3" s="1"/>
  <c r="C505" i="3" l="1"/>
  <c r="D504" i="3"/>
  <c r="E504" i="3" s="1"/>
  <c r="C506" i="3" l="1"/>
  <c r="D505" i="3"/>
  <c r="E505" i="3" s="1"/>
  <c r="C507" i="3" l="1"/>
  <c r="D506" i="3"/>
  <c r="E506" i="3" s="1"/>
  <c r="C508" i="3" l="1"/>
  <c r="D507" i="3"/>
  <c r="E507" i="3" s="1"/>
  <c r="F507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C509" i="3"/>
  <c r="D508" i="3"/>
  <c r="E508" i="3" s="1"/>
  <c r="F506" i="3"/>
  <c r="F508" i="3" l="1"/>
  <c r="C510" i="3"/>
  <c r="D509" i="3"/>
  <c r="E509" i="3" s="1"/>
  <c r="F509" i="3" l="1"/>
  <c r="C511" i="3"/>
  <c r="D510" i="3"/>
  <c r="E510" i="3" s="1"/>
  <c r="C512" i="3" l="1"/>
  <c r="D511" i="3"/>
  <c r="E511" i="3" s="1"/>
  <c r="F510" i="3"/>
  <c r="F511" i="3" l="1"/>
  <c r="C513" i="3"/>
  <c r="D512" i="3"/>
  <c r="E512" i="3" s="1"/>
  <c r="F512" i="3" l="1"/>
  <c r="C514" i="3"/>
  <c r="D513" i="3"/>
  <c r="E513" i="3" s="1"/>
  <c r="C515" i="3" l="1"/>
  <c r="D514" i="3"/>
  <c r="E514" i="3" s="1"/>
  <c r="F513" i="3"/>
  <c r="F514" i="3" l="1"/>
  <c r="C516" i="3"/>
  <c r="D515" i="3"/>
  <c r="E515" i="3" s="1"/>
  <c r="F515" i="3" l="1"/>
  <c r="C517" i="3"/>
  <c r="D516" i="3"/>
  <c r="E516" i="3" s="1"/>
  <c r="F516" i="3" l="1"/>
  <c r="C518" i="3"/>
  <c r="D517" i="3"/>
  <c r="E517" i="3" s="1"/>
  <c r="F517" i="3" l="1"/>
  <c r="C519" i="3"/>
  <c r="D518" i="3"/>
  <c r="E518" i="3" s="1"/>
  <c r="F518" i="3" l="1"/>
  <c r="C520" i="3"/>
  <c r="D519" i="3"/>
  <c r="E519" i="3" s="1"/>
  <c r="F519" i="3" l="1"/>
  <c r="C521" i="3"/>
  <c r="D520" i="3"/>
  <c r="E520" i="3" s="1"/>
  <c r="C522" i="3" l="1"/>
  <c r="D521" i="3"/>
  <c r="E521" i="3" s="1"/>
  <c r="F520" i="3"/>
  <c r="F521" i="3" l="1"/>
  <c r="C523" i="3"/>
  <c r="D522" i="3"/>
  <c r="E522" i="3" s="1"/>
  <c r="F522" i="3" l="1"/>
  <c r="C524" i="3"/>
  <c r="D523" i="3"/>
  <c r="E523" i="3" s="1"/>
  <c r="F523" i="3" l="1"/>
  <c r="C525" i="3"/>
  <c r="D524" i="3"/>
  <c r="E524" i="3" s="1"/>
  <c r="F524" i="3" l="1"/>
  <c r="C526" i="3"/>
  <c r="D525" i="3"/>
  <c r="E525" i="3" s="1"/>
  <c r="F525" i="3" l="1"/>
  <c r="C527" i="3"/>
  <c r="D526" i="3"/>
  <c r="E526" i="3" s="1"/>
  <c r="F526" i="3" l="1"/>
  <c r="C528" i="3"/>
  <c r="D527" i="3"/>
  <c r="E527" i="3" s="1"/>
  <c r="F527" i="3" l="1"/>
  <c r="C529" i="3"/>
  <c r="D528" i="3"/>
  <c r="E528" i="3" s="1"/>
  <c r="F528" i="3" l="1"/>
  <c r="C530" i="3"/>
  <c r="D529" i="3"/>
  <c r="E529" i="3" s="1"/>
  <c r="F529" i="3" l="1"/>
  <c r="C531" i="3"/>
  <c r="D530" i="3"/>
  <c r="E530" i="3" s="1"/>
  <c r="F530" i="3" l="1"/>
  <c r="C532" i="3"/>
  <c r="D531" i="3"/>
  <c r="E531" i="3" s="1"/>
  <c r="C533" i="3" l="1"/>
  <c r="D532" i="3"/>
  <c r="E532" i="3" s="1"/>
  <c r="F531" i="3"/>
  <c r="F532" i="3" l="1"/>
  <c r="C534" i="3"/>
  <c r="D533" i="3"/>
  <c r="E533" i="3" s="1"/>
  <c r="F533" i="3" l="1"/>
  <c r="C535" i="3"/>
  <c r="D534" i="3"/>
  <c r="E534" i="3" s="1"/>
  <c r="F534" i="3" l="1"/>
  <c r="C536" i="3"/>
  <c r="D535" i="3"/>
  <c r="E535" i="3" s="1"/>
  <c r="F535" i="3" l="1"/>
  <c r="C537" i="3"/>
  <c r="D536" i="3"/>
  <c r="E536" i="3" s="1"/>
  <c r="F536" i="3" l="1"/>
  <c r="C538" i="3"/>
  <c r="D537" i="3"/>
  <c r="E537" i="3" s="1"/>
  <c r="C539" i="3" l="1"/>
  <c r="D538" i="3"/>
  <c r="E538" i="3" s="1"/>
  <c r="F537" i="3"/>
  <c r="F538" i="3" l="1"/>
  <c r="C540" i="3"/>
  <c r="D539" i="3"/>
  <c r="E539" i="3" s="1"/>
  <c r="F539" i="3" l="1"/>
  <c r="C541" i="3"/>
  <c r="D540" i="3"/>
  <c r="E540" i="3" s="1"/>
  <c r="F540" i="3" l="1"/>
  <c r="C542" i="3"/>
  <c r="D541" i="3"/>
  <c r="E541" i="3" s="1"/>
  <c r="F541" i="3" l="1"/>
  <c r="C543" i="3"/>
  <c r="D542" i="3"/>
  <c r="E542" i="3" s="1"/>
  <c r="F542" i="3" l="1"/>
  <c r="C544" i="3"/>
  <c r="D543" i="3"/>
  <c r="E543" i="3" s="1"/>
  <c r="F543" i="3" l="1"/>
  <c r="C545" i="3"/>
  <c r="D544" i="3"/>
  <c r="E544" i="3" s="1"/>
  <c r="F544" i="3" l="1"/>
  <c r="C546" i="3"/>
  <c r="D545" i="3"/>
  <c r="E545" i="3" s="1"/>
  <c r="F545" i="3" l="1"/>
  <c r="C547" i="3"/>
  <c r="D546" i="3"/>
  <c r="E546" i="3" s="1"/>
  <c r="F546" i="3" l="1"/>
  <c r="C548" i="3"/>
  <c r="D547" i="3"/>
  <c r="E547" i="3" s="1"/>
  <c r="C549" i="3" l="1"/>
  <c r="D548" i="3"/>
  <c r="E548" i="3" s="1"/>
  <c r="F547" i="3"/>
  <c r="F548" i="3" l="1"/>
  <c r="C550" i="3"/>
  <c r="D549" i="3"/>
  <c r="E549" i="3" s="1"/>
  <c r="F549" i="3" l="1"/>
  <c r="C551" i="3"/>
  <c r="D550" i="3"/>
  <c r="E550" i="3" s="1"/>
  <c r="F550" i="3" l="1"/>
  <c r="C552" i="3"/>
  <c r="D551" i="3"/>
  <c r="E551" i="3" s="1"/>
  <c r="F551" i="3" l="1"/>
  <c r="C553" i="3"/>
  <c r="D552" i="3"/>
  <c r="E552" i="3" s="1"/>
  <c r="F552" i="3" l="1"/>
  <c r="C554" i="3"/>
  <c r="D553" i="3"/>
  <c r="E553" i="3" s="1"/>
  <c r="C555" i="3" l="1"/>
  <c r="D554" i="3"/>
  <c r="E554" i="3" s="1"/>
  <c r="F553" i="3"/>
  <c r="F554" i="3" l="1"/>
  <c r="C556" i="3"/>
  <c r="D555" i="3"/>
  <c r="E555" i="3" s="1"/>
  <c r="F555" i="3" l="1"/>
  <c r="C557" i="3"/>
  <c r="D556" i="3"/>
  <c r="E556" i="3" s="1"/>
  <c r="C558" i="3" l="1"/>
  <c r="D557" i="3"/>
  <c r="E557" i="3" s="1"/>
  <c r="F556" i="3"/>
  <c r="F557" i="3" l="1"/>
  <c r="C559" i="3"/>
  <c r="D558" i="3"/>
  <c r="E558" i="3" s="1"/>
  <c r="F558" i="3" l="1"/>
  <c r="C560" i="3"/>
  <c r="D559" i="3"/>
  <c r="E559" i="3" s="1"/>
  <c r="F559" i="3" l="1"/>
  <c r="C561" i="3"/>
  <c r="D560" i="3"/>
  <c r="E560" i="3" s="1"/>
  <c r="F560" i="3" l="1"/>
  <c r="C562" i="3"/>
  <c r="D561" i="3"/>
  <c r="E561" i="3" s="1"/>
  <c r="F561" i="3" l="1"/>
  <c r="C563" i="3"/>
  <c r="D562" i="3"/>
  <c r="E562" i="3" s="1"/>
  <c r="C564" i="3" l="1"/>
  <c r="D563" i="3"/>
  <c r="E563" i="3" s="1"/>
  <c r="F562" i="3"/>
  <c r="F563" i="3" l="1"/>
  <c r="C565" i="3"/>
  <c r="D564" i="3"/>
  <c r="E564" i="3" s="1"/>
  <c r="F564" i="3" l="1"/>
  <c r="C566" i="3"/>
  <c r="D565" i="3"/>
  <c r="E565" i="3" s="1"/>
  <c r="F565" i="3" l="1"/>
  <c r="C567" i="3"/>
  <c r="D566" i="3"/>
  <c r="E566" i="3" s="1"/>
  <c r="F566" i="3" l="1"/>
  <c r="C568" i="3"/>
  <c r="D567" i="3"/>
  <c r="E567" i="3" s="1"/>
  <c r="F567" i="3" l="1"/>
  <c r="C569" i="3"/>
  <c r="D568" i="3"/>
  <c r="E568" i="3" s="1"/>
  <c r="C570" i="3" l="1"/>
  <c r="D569" i="3"/>
  <c r="E569" i="3" s="1"/>
  <c r="F568" i="3"/>
  <c r="F569" i="3" l="1"/>
  <c r="C571" i="3"/>
  <c r="D570" i="3"/>
  <c r="E570" i="3" s="1"/>
  <c r="F570" i="3" l="1"/>
  <c r="C572" i="3"/>
  <c r="D571" i="3"/>
  <c r="E571" i="3" s="1"/>
  <c r="F571" i="3" l="1"/>
  <c r="C573" i="3"/>
  <c r="D572" i="3"/>
  <c r="E572" i="3" s="1"/>
  <c r="F572" i="3" l="1"/>
  <c r="C574" i="3"/>
  <c r="D573" i="3"/>
  <c r="E573" i="3" s="1"/>
  <c r="F573" i="3" l="1"/>
  <c r="C575" i="3"/>
  <c r="D574" i="3"/>
  <c r="E574" i="3" s="1"/>
  <c r="F574" i="3" l="1"/>
  <c r="C576" i="3"/>
  <c r="D575" i="3"/>
  <c r="E575" i="3" s="1"/>
  <c r="F575" i="3" l="1"/>
  <c r="C577" i="3"/>
  <c r="D576" i="3"/>
  <c r="E576" i="3" s="1"/>
  <c r="F576" i="3" l="1"/>
  <c r="C578" i="3"/>
  <c r="D577" i="3"/>
  <c r="E577" i="3" s="1"/>
  <c r="F577" i="3" l="1"/>
  <c r="C579" i="3"/>
  <c r="D578" i="3"/>
  <c r="E578" i="3" s="1"/>
  <c r="C580" i="3" l="1"/>
  <c r="D579" i="3"/>
  <c r="E579" i="3" s="1"/>
  <c r="F578" i="3"/>
  <c r="F579" i="3" l="1"/>
  <c r="C581" i="3"/>
  <c r="D580" i="3"/>
  <c r="E580" i="3" s="1"/>
  <c r="F580" i="3" l="1"/>
  <c r="C582" i="3"/>
  <c r="D581" i="3"/>
  <c r="E581" i="3" s="1"/>
  <c r="C583" i="3" l="1"/>
  <c r="D582" i="3"/>
  <c r="E582" i="3" s="1"/>
  <c r="F581" i="3"/>
  <c r="F582" i="3" l="1"/>
  <c r="C584" i="3"/>
  <c r="D583" i="3"/>
  <c r="E583" i="3" s="1"/>
  <c r="F583" i="3" l="1"/>
  <c r="C585" i="3"/>
  <c r="D584" i="3"/>
  <c r="E584" i="3" s="1"/>
  <c r="C586" i="3" l="1"/>
  <c r="D585" i="3"/>
  <c r="E585" i="3" s="1"/>
  <c r="F584" i="3"/>
  <c r="F585" i="3" l="1"/>
  <c r="C587" i="3"/>
  <c r="D586" i="3"/>
  <c r="E586" i="3" s="1"/>
  <c r="C588" i="3" l="1"/>
  <c r="D587" i="3"/>
  <c r="E587" i="3" s="1"/>
  <c r="F586" i="3"/>
  <c r="F587" i="3" l="1"/>
  <c r="C589" i="3"/>
  <c r="D588" i="3"/>
  <c r="E588" i="3" s="1"/>
  <c r="C590" i="3" l="1"/>
  <c r="D589" i="3"/>
  <c r="E589" i="3" s="1"/>
  <c r="F588" i="3"/>
  <c r="F589" i="3" l="1"/>
  <c r="C591" i="3"/>
  <c r="D590" i="3"/>
  <c r="E590" i="3" s="1"/>
  <c r="F590" i="3" l="1"/>
  <c r="C592" i="3"/>
  <c r="D591" i="3"/>
  <c r="E591" i="3" s="1"/>
  <c r="F591" i="3" l="1"/>
  <c r="C593" i="3"/>
  <c r="D592" i="3"/>
  <c r="E592" i="3" s="1"/>
  <c r="F592" i="3" l="1"/>
  <c r="C594" i="3"/>
  <c r="D593" i="3"/>
  <c r="E593" i="3" s="1"/>
  <c r="F593" i="3" l="1"/>
  <c r="C595" i="3"/>
  <c r="D594" i="3"/>
  <c r="E594" i="3" s="1"/>
  <c r="F594" i="3" l="1"/>
  <c r="C596" i="3"/>
  <c r="D595" i="3"/>
  <c r="E595" i="3" s="1"/>
  <c r="F595" i="3" l="1"/>
  <c r="C597" i="3"/>
  <c r="D596" i="3"/>
  <c r="E596" i="3" s="1"/>
  <c r="F596" i="3" l="1"/>
  <c r="C598" i="3"/>
  <c r="D597" i="3"/>
  <c r="E597" i="3" s="1"/>
  <c r="F597" i="3" l="1"/>
  <c r="C599" i="3"/>
  <c r="D598" i="3"/>
  <c r="E598" i="3" s="1"/>
  <c r="C600" i="3" l="1"/>
  <c r="D599" i="3"/>
  <c r="E599" i="3" s="1"/>
  <c r="F598" i="3"/>
  <c r="F599" i="3" l="1"/>
  <c r="C601" i="3"/>
  <c r="D600" i="3"/>
  <c r="E600" i="3" s="1"/>
  <c r="C602" i="3" l="1"/>
  <c r="D601" i="3"/>
  <c r="E601" i="3" s="1"/>
  <c r="F600" i="3"/>
  <c r="F601" i="3" l="1"/>
  <c r="C603" i="3"/>
  <c r="D602" i="3"/>
  <c r="E602" i="3" s="1"/>
  <c r="C604" i="3" l="1"/>
  <c r="D603" i="3"/>
  <c r="E603" i="3" s="1"/>
  <c r="F602" i="3"/>
  <c r="F603" i="3" l="1"/>
  <c r="C605" i="3"/>
  <c r="D604" i="3"/>
  <c r="E604" i="3" s="1"/>
  <c r="F604" i="3" l="1"/>
  <c r="C606" i="3"/>
  <c r="D605" i="3"/>
  <c r="E605" i="3" s="1"/>
  <c r="F605" i="3" l="1"/>
  <c r="C607" i="3"/>
  <c r="D606" i="3"/>
  <c r="E606" i="3" s="1"/>
  <c r="C608" i="3" l="1"/>
  <c r="D607" i="3"/>
  <c r="E607" i="3" s="1"/>
  <c r="F606" i="3"/>
  <c r="F607" i="3" l="1"/>
  <c r="C609" i="3"/>
  <c r="D608" i="3"/>
  <c r="E608" i="3" s="1"/>
  <c r="F608" i="3" l="1"/>
  <c r="C610" i="3"/>
  <c r="D609" i="3"/>
  <c r="E609" i="3" s="1"/>
  <c r="F609" i="3" l="1"/>
  <c r="C611" i="3"/>
  <c r="D610" i="3"/>
  <c r="E610" i="3" s="1"/>
  <c r="F610" i="3" l="1"/>
  <c r="C612" i="3"/>
  <c r="D611" i="3"/>
  <c r="E611" i="3" s="1"/>
  <c r="C613" i="3" l="1"/>
  <c r="D612" i="3"/>
  <c r="E612" i="3" s="1"/>
  <c r="F611" i="3"/>
  <c r="F612" i="3" l="1"/>
  <c r="C614" i="3"/>
  <c r="D613" i="3"/>
  <c r="E613" i="3" s="1"/>
  <c r="C615" i="3" l="1"/>
  <c r="D614" i="3"/>
  <c r="E614" i="3" s="1"/>
  <c r="F613" i="3"/>
  <c r="F614" i="3" l="1"/>
  <c r="C616" i="3"/>
  <c r="D615" i="3"/>
  <c r="E615" i="3" s="1"/>
  <c r="C617" i="3" l="1"/>
  <c r="D616" i="3"/>
  <c r="E616" i="3" s="1"/>
  <c r="F615" i="3"/>
  <c r="F616" i="3" l="1"/>
  <c r="C618" i="3"/>
  <c r="D617" i="3"/>
  <c r="E617" i="3" s="1"/>
  <c r="F617" i="3" l="1"/>
  <c r="C619" i="3"/>
  <c r="D618" i="3"/>
  <c r="E618" i="3" s="1"/>
  <c r="F618" i="3" l="1"/>
  <c r="C620" i="3"/>
  <c r="D619" i="3"/>
  <c r="E619" i="3" s="1"/>
  <c r="C621" i="3" l="1"/>
  <c r="D620" i="3"/>
  <c r="E620" i="3" s="1"/>
  <c r="F619" i="3"/>
  <c r="F620" i="3" l="1"/>
  <c r="C622" i="3"/>
  <c r="D621" i="3"/>
  <c r="E621" i="3" s="1"/>
  <c r="F621" i="3" l="1"/>
  <c r="C623" i="3"/>
  <c r="D622" i="3"/>
  <c r="E622" i="3" s="1"/>
  <c r="C624" i="3" l="1"/>
  <c r="D623" i="3"/>
  <c r="E623" i="3" s="1"/>
  <c r="F622" i="3"/>
  <c r="F623" i="3" l="1"/>
  <c r="C625" i="3"/>
  <c r="D624" i="3"/>
  <c r="E624" i="3" s="1"/>
  <c r="C626" i="3" l="1"/>
  <c r="D625" i="3"/>
  <c r="E625" i="3" s="1"/>
  <c r="F624" i="3"/>
  <c r="F625" i="3" l="1"/>
  <c r="C627" i="3"/>
  <c r="D626" i="3"/>
  <c r="E626" i="3" s="1"/>
  <c r="F626" i="3" l="1"/>
  <c r="C628" i="3"/>
  <c r="D627" i="3"/>
  <c r="E627" i="3" s="1"/>
  <c r="F627" i="3" l="1"/>
  <c r="C629" i="3"/>
  <c r="D628" i="3"/>
  <c r="E628" i="3" s="1"/>
  <c r="F628" i="3" l="1"/>
  <c r="C630" i="3"/>
  <c r="D629" i="3"/>
  <c r="E629" i="3" s="1"/>
  <c r="F629" i="3" l="1"/>
  <c r="C631" i="3"/>
  <c r="D630" i="3"/>
  <c r="E630" i="3" s="1"/>
  <c r="F630" i="3" l="1"/>
  <c r="C632" i="3"/>
  <c r="D631" i="3"/>
  <c r="E631" i="3" s="1"/>
  <c r="F631" i="3" l="1"/>
  <c r="C633" i="3"/>
  <c r="D632" i="3"/>
  <c r="E632" i="3" s="1"/>
  <c r="F632" i="3" l="1"/>
  <c r="C634" i="3"/>
  <c r="D633" i="3"/>
  <c r="E633" i="3" s="1"/>
  <c r="F633" i="3" l="1"/>
  <c r="C635" i="3"/>
  <c r="D634" i="3"/>
  <c r="E634" i="3" s="1"/>
  <c r="F634" i="3" l="1"/>
  <c r="C636" i="3"/>
  <c r="D635" i="3"/>
  <c r="E635" i="3" s="1"/>
  <c r="C637" i="3" l="1"/>
  <c r="D636" i="3"/>
  <c r="E636" i="3" s="1"/>
  <c r="F635" i="3"/>
  <c r="F636" i="3" l="1"/>
  <c r="C638" i="3"/>
  <c r="D637" i="3"/>
  <c r="E637" i="3" s="1"/>
  <c r="F637" i="3" l="1"/>
  <c r="C639" i="3"/>
  <c r="D638" i="3"/>
  <c r="E638" i="3" s="1"/>
  <c r="F638" i="3" l="1"/>
  <c r="C640" i="3"/>
  <c r="D639" i="3"/>
  <c r="E639" i="3" s="1"/>
  <c r="F639" i="3" l="1"/>
  <c r="C641" i="3"/>
  <c r="D640" i="3"/>
  <c r="E640" i="3" s="1"/>
  <c r="F640" i="3" l="1"/>
  <c r="C642" i="3"/>
  <c r="D641" i="3"/>
  <c r="E641" i="3" s="1"/>
  <c r="F641" i="3" l="1"/>
  <c r="C643" i="3"/>
  <c r="D642" i="3"/>
  <c r="E642" i="3" s="1"/>
  <c r="F642" i="3" l="1"/>
  <c r="C644" i="3"/>
  <c r="D643" i="3"/>
  <c r="E643" i="3" s="1"/>
  <c r="F643" i="3" l="1"/>
  <c r="C645" i="3"/>
  <c r="D644" i="3"/>
  <c r="E644" i="3" s="1"/>
  <c r="F644" i="3" l="1"/>
  <c r="C646" i="3"/>
  <c r="D645" i="3"/>
  <c r="E645" i="3" s="1"/>
  <c r="F645" i="3" l="1"/>
  <c r="C647" i="3"/>
  <c r="D646" i="3"/>
  <c r="E646" i="3" s="1"/>
  <c r="C648" i="3" l="1"/>
  <c r="D647" i="3"/>
  <c r="E647" i="3" s="1"/>
  <c r="F646" i="3"/>
  <c r="F647" i="3" l="1"/>
  <c r="C649" i="3"/>
  <c r="D648" i="3"/>
  <c r="E648" i="3" s="1"/>
  <c r="F648" i="3" l="1"/>
  <c r="C650" i="3"/>
  <c r="D649" i="3"/>
  <c r="E649" i="3" s="1"/>
  <c r="C651" i="3" l="1"/>
  <c r="D650" i="3"/>
  <c r="E650" i="3" s="1"/>
  <c r="F649" i="3"/>
  <c r="F650" i="3" l="1"/>
  <c r="C652" i="3"/>
  <c r="D651" i="3"/>
  <c r="E651" i="3" s="1"/>
  <c r="C653" i="3" l="1"/>
  <c r="D652" i="3"/>
  <c r="E652" i="3" s="1"/>
  <c r="F651" i="3"/>
  <c r="F652" i="3" l="1"/>
  <c r="C654" i="3"/>
  <c r="D653" i="3"/>
  <c r="E653" i="3" s="1"/>
  <c r="F653" i="3" l="1"/>
  <c r="C655" i="3"/>
  <c r="D654" i="3"/>
  <c r="E654" i="3" s="1"/>
  <c r="F654" i="3" l="1"/>
  <c r="C656" i="3"/>
  <c r="D655" i="3"/>
  <c r="E655" i="3" s="1"/>
  <c r="F655" i="3" l="1"/>
  <c r="C657" i="3"/>
  <c r="D656" i="3"/>
  <c r="E656" i="3" s="1"/>
  <c r="C658" i="3" l="1"/>
  <c r="D657" i="3"/>
  <c r="E657" i="3" s="1"/>
  <c r="F656" i="3"/>
  <c r="F657" i="3" l="1"/>
  <c r="C659" i="3"/>
  <c r="D658" i="3"/>
  <c r="E658" i="3" s="1"/>
  <c r="F658" i="3" l="1"/>
  <c r="C660" i="3"/>
  <c r="D659" i="3"/>
  <c r="E659" i="3" s="1"/>
  <c r="F659" i="3" l="1"/>
  <c r="C661" i="3"/>
  <c r="D660" i="3"/>
  <c r="E660" i="3" s="1"/>
  <c r="C662" i="3" l="1"/>
  <c r="D661" i="3"/>
  <c r="E661" i="3" s="1"/>
  <c r="F660" i="3"/>
  <c r="F661" i="3" l="1"/>
  <c r="C663" i="3"/>
  <c r="D662" i="3"/>
  <c r="E662" i="3" s="1"/>
  <c r="F662" i="3" l="1"/>
  <c r="C664" i="3"/>
  <c r="D663" i="3"/>
  <c r="E663" i="3" s="1"/>
  <c r="F663" i="3" l="1"/>
  <c r="C665" i="3"/>
  <c r="D664" i="3"/>
  <c r="E664" i="3" s="1"/>
  <c r="F664" i="3" l="1"/>
  <c r="C666" i="3"/>
  <c r="D665" i="3"/>
  <c r="E665" i="3" s="1"/>
  <c r="F665" i="3" l="1"/>
  <c r="C667" i="3"/>
  <c r="D666" i="3"/>
  <c r="E666" i="3" s="1"/>
  <c r="F666" i="3" l="1"/>
  <c r="C668" i="3"/>
  <c r="D667" i="3"/>
  <c r="E667" i="3" s="1"/>
  <c r="F667" i="3" l="1"/>
  <c r="C669" i="3"/>
  <c r="D668" i="3"/>
  <c r="E668" i="3" s="1"/>
  <c r="F668" i="3" l="1"/>
  <c r="C670" i="3"/>
  <c r="D669" i="3"/>
  <c r="E669" i="3" s="1"/>
  <c r="F669" i="3" l="1"/>
  <c r="C671" i="3"/>
  <c r="D670" i="3"/>
  <c r="E670" i="3" s="1"/>
  <c r="F670" i="3" l="1"/>
  <c r="C672" i="3"/>
  <c r="D671" i="3"/>
  <c r="E671" i="3" s="1"/>
  <c r="F671" i="3" l="1"/>
  <c r="C673" i="3"/>
  <c r="D672" i="3"/>
  <c r="E672" i="3" s="1"/>
  <c r="F672" i="3" l="1"/>
  <c r="C674" i="3"/>
  <c r="D673" i="3"/>
  <c r="E673" i="3" s="1"/>
  <c r="F673" i="3" l="1"/>
  <c r="C675" i="3"/>
  <c r="D674" i="3"/>
  <c r="E674" i="3" s="1"/>
  <c r="F674" i="3" l="1"/>
  <c r="C676" i="3"/>
  <c r="D675" i="3"/>
  <c r="E675" i="3" s="1"/>
  <c r="F675" i="3" l="1"/>
  <c r="C677" i="3"/>
  <c r="D676" i="3"/>
  <c r="E676" i="3" s="1"/>
  <c r="F676" i="3" l="1"/>
  <c r="C678" i="3"/>
  <c r="D677" i="3"/>
  <c r="E677" i="3" s="1"/>
  <c r="F677" i="3" l="1"/>
  <c r="C679" i="3"/>
  <c r="D678" i="3"/>
  <c r="E678" i="3" s="1"/>
  <c r="F678" i="3" l="1"/>
  <c r="C680" i="3"/>
  <c r="D679" i="3"/>
  <c r="E679" i="3" s="1"/>
  <c r="F679" i="3" l="1"/>
  <c r="C681" i="3"/>
  <c r="D680" i="3"/>
  <c r="E680" i="3" s="1"/>
  <c r="C682" i="3" l="1"/>
  <c r="D681" i="3"/>
  <c r="E681" i="3" s="1"/>
  <c r="F680" i="3"/>
  <c r="F681" i="3" l="1"/>
  <c r="C683" i="3"/>
  <c r="D682" i="3"/>
  <c r="E682" i="3" s="1"/>
  <c r="F682" i="3" l="1"/>
  <c r="C684" i="3"/>
  <c r="D683" i="3"/>
  <c r="E683" i="3" s="1"/>
  <c r="F683" i="3" l="1"/>
  <c r="C685" i="3"/>
  <c r="D684" i="3"/>
  <c r="E684" i="3" s="1"/>
  <c r="F684" i="3" l="1"/>
  <c r="C686" i="3"/>
  <c r="D685" i="3"/>
  <c r="E685" i="3" s="1"/>
  <c r="C687" i="3" l="1"/>
  <c r="D686" i="3"/>
  <c r="E686" i="3" s="1"/>
  <c r="F685" i="3"/>
  <c r="F686" i="3" l="1"/>
  <c r="C688" i="3"/>
  <c r="D687" i="3"/>
  <c r="E687" i="3" s="1"/>
  <c r="F687" i="3" l="1"/>
  <c r="C689" i="3"/>
  <c r="D688" i="3"/>
  <c r="E688" i="3" s="1"/>
  <c r="F688" i="3" l="1"/>
  <c r="C690" i="3"/>
  <c r="D689" i="3"/>
  <c r="E689" i="3" s="1"/>
  <c r="F689" i="3" l="1"/>
  <c r="C691" i="3"/>
  <c r="D690" i="3"/>
  <c r="E690" i="3" s="1"/>
  <c r="F690" i="3" l="1"/>
  <c r="C692" i="3"/>
  <c r="D691" i="3"/>
  <c r="E691" i="3" s="1"/>
  <c r="C693" i="3" l="1"/>
  <c r="D692" i="3"/>
  <c r="E692" i="3" s="1"/>
  <c r="F691" i="3"/>
  <c r="F692" i="3" l="1"/>
  <c r="C694" i="3"/>
  <c r="D693" i="3"/>
  <c r="E693" i="3" s="1"/>
  <c r="F693" i="3" l="1"/>
  <c r="C695" i="3"/>
  <c r="D694" i="3"/>
  <c r="E694" i="3" s="1"/>
  <c r="F694" i="3" l="1"/>
  <c r="C696" i="3"/>
  <c r="D695" i="3"/>
  <c r="E695" i="3" s="1"/>
  <c r="F695" i="3" l="1"/>
  <c r="C697" i="3"/>
  <c r="D696" i="3"/>
  <c r="E696" i="3" s="1"/>
  <c r="F696" i="3" l="1"/>
  <c r="C698" i="3"/>
  <c r="D697" i="3"/>
  <c r="E697" i="3" s="1"/>
  <c r="C699" i="3" l="1"/>
  <c r="D698" i="3"/>
  <c r="E698" i="3" s="1"/>
  <c r="F697" i="3"/>
  <c r="F698" i="3" l="1"/>
  <c r="C700" i="3"/>
  <c r="D699" i="3"/>
  <c r="E699" i="3" s="1"/>
  <c r="F699" i="3" l="1"/>
  <c r="C701" i="3"/>
  <c r="D700" i="3"/>
  <c r="E700" i="3" s="1"/>
  <c r="F700" i="3" l="1"/>
  <c r="C702" i="3"/>
  <c r="D701" i="3"/>
  <c r="E701" i="3" s="1"/>
  <c r="F701" i="3" l="1"/>
  <c r="C703" i="3"/>
  <c r="D702" i="3"/>
  <c r="E702" i="3" s="1"/>
  <c r="C704" i="3" l="1"/>
  <c r="D703" i="3"/>
  <c r="E703" i="3" s="1"/>
  <c r="F702" i="3"/>
  <c r="F703" i="3" l="1"/>
  <c r="C705" i="3"/>
  <c r="D704" i="3"/>
  <c r="E704" i="3" s="1"/>
  <c r="F704" i="3" l="1"/>
  <c r="C706" i="3"/>
  <c r="D705" i="3"/>
  <c r="E705" i="3" s="1"/>
  <c r="F705" i="3" l="1"/>
  <c r="C707" i="3"/>
  <c r="D706" i="3"/>
  <c r="E706" i="3" s="1"/>
  <c r="F706" i="3" l="1"/>
  <c r="C708" i="3"/>
  <c r="D707" i="3"/>
  <c r="E707" i="3" s="1"/>
  <c r="C709" i="3" l="1"/>
  <c r="D708" i="3"/>
  <c r="E708" i="3" s="1"/>
  <c r="F707" i="3"/>
  <c r="F708" i="3" l="1"/>
  <c r="C710" i="3"/>
  <c r="D709" i="3"/>
  <c r="E709" i="3" s="1"/>
  <c r="F709" i="3" l="1"/>
  <c r="C711" i="3"/>
  <c r="D710" i="3"/>
  <c r="E710" i="3" s="1"/>
  <c r="F710" i="3" l="1"/>
  <c r="C712" i="3"/>
  <c r="D711" i="3"/>
  <c r="E711" i="3" s="1"/>
  <c r="C713" i="3" l="1"/>
  <c r="D712" i="3"/>
  <c r="E712" i="3" s="1"/>
  <c r="F711" i="3"/>
  <c r="F712" i="3" l="1"/>
  <c r="C714" i="3"/>
  <c r="D713" i="3"/>
  <c r="E713" i="3" s="1"/>
  <c r="C715" i="3" l="1"/>
  <c r="D714" i="3"/>
  <c r="E714" i="3" s="1"/>
  <c r="F713" i="3"/>
  <c r="F714" i="3" l="1"/>
  <c r="C716" i="3"/>
  <c r="D715" i="3"/>
  <c r="E715" i="3" s="1"/>
  <c r="F715" i="3" l="1"/>
  <c r="C717" i="3"/>
  <c r="D716" i="3"/>
  <c r="E716" i="3" s="1"/>
  <c r="F716" i="3" l="1"/>
  <c r="C718" i="3"/>
  <c r="D717" i="3"/>
  <c r="E717" i="3" s="1"/>
  <c r="F717" i="3" l="1"/>
  <c r="C719" i="3"/>
  <c r="D718" i="3"/>
  <c r="E718" i="3" s="1"/>
  <c r="F718" i="3" l="1"/>
  <c r="C720" i="3"/>
  <c r="D719" i="3"/>
  <c r="E719" i="3" s="1"/>
  <c r="F719" i="3" l="1"/>
  <c r="C721" i="3"/>
  <c r="D720" i="3"/>
  <c r="E720" i="3" s="1"/>
  <c r="C722" i="3" l="1"/>
  <c r="D721" i="3"/>
  <c r="E721" i="3" s="1"/>
  <c r="F720" i="3"/>
  <c r="F721" i="3" l="1"/>
  <c r="C723" i="3"/>
  <c r="D722" i="3"/>
  <c r="E722" i="3" s="1"/>
  <c r="F722" i="3" l="1"/>
  <c r="C724" i="3"/>
  <c r="D723" i="3"/>
  <c r="E723" i="3" s="1"/>
  <c r="F723" i="3" l="1"/>
  <c r="C725" i="3"/>
  <c r="D724" i="3"/>
  <c r="E724" i="3" s="1"/>
  <c r="F724" i="3" l="1"/>
  <c r="C726" i="3"/>
  <c r="D725" i="3"/>
  <c r="E725" i="3" s="1"/>
  <c r="C727" i="3" l="1"/>
  <c r="D726" i="3"/>
  <c r="E726" i="3" s="1"/>
  <c r="F725" i="3"/>
  <c r="F726" i="3" l="1"/>
  <c r="C728" i="3"/>
  <c r="D727" i="3"/>
  <c r="E727" i="3" s="1"/>
  <c r="F727" i="3" l="1"/>
  <c r="C729" i="3"/>
  <c r="D728" i="3"/>
  <c r="E728" i="3" s="1"/>
  <c r="C730" i="3" l="1"/>
  <c r="D729" i="3"/>
  <c r="E729" i="3" s="1"/>
  <c r="F728" i="3"/>
  <c r="F729" i="3" l="1"/>
  <c r="C731" i="3"/>
  <c r="D730" i="3"/>
  <c r="E730" i="3" s="1"/>
  <c r="C732" i="3" l="1"/>
  <c r="D731" i="3"/>
  <c r="E731" i="3" s="1"/>
  <c r="F730" i="3"/>
  <c r="F731" i="3" l="1"/>
  <c r="C733" i="3"/>
  <c r="D732" i="3"/>
  <c r="E732" i="3" s="1"/>
  <c r="C734" i="3" l="1"/>
  <c r="D733" i="3"/>
  <c r="E733" i="3" s="1"/>
  <c r="F732" i="3"/>
  <c r="F733" i="3" l="1"/>
  <c r="C735" i="3"/>
  <c r="D734" i="3"/>
  <c r="E734" i="3" s="1"/>
  <c r="F734" i="3" l="1"/>
  <c r="C736" i="3"/>
  <c r="D735" i="3"/>
  <c r="E735" i="3" s="1"/>
  <c r="F735" i="3" l="1"/>
  <c r="C737" i="3"/>
  <c r="D736" i="3"/>
  <c r="E736" i="3" s="1"/>
  <c r="F736" i="3" l="1"/>
  <c r="C738" i="3"/>
  <c r="D737" i="3"/>
  <c r="E737" i="3" s="1"/>
  <c r="F737" i="3" l="1"/>
  <c r="C739" i="3"/>
  <c r="D738" i="3"/>
  <c r="E738" i="3" s="1"/>
  <c r="F738" i="3" l="1"/>
  <c r="C740" i="3"/>
  <c r="D739" i="3"/>
  <c r="E739" i="3" s="1"/>
  <c r="C741" i="3" l="1"/>
  <c r="D740" i="3"/>
  <c r="E740" i="3" s="1"/>
  <c r="F739" i="3"/>
  <c r="F740" i="3" l="1"/>
  <c r="C742" i="3"/>
  <c r="D741" i="3"/>
  <c r="E741" i="3" s="1"/>
  <c r="F741" i="3" l="1"/>
  <c r="C743" i="3"/>
  <c r="D742" i="3"/>
  <c r="E742" i="3" s="1"/>
  <c r="F742" i="3" l="1"/>
  <c r="C744" i="3"/>
  <c r="D743" i="3"/>
  <c r="E743" i="3" s="1"/>
  <c r="F743" i="3" l="1"/>
  <c r="C745" i="3"/>
  <c r="D744" i="3"/>
  <c r="E744" i="3" s="1"/>
  <c r="F744" i="3" l="1"/>
  <c r="C746" i="3"/>
  <c r="D745" i="3"/>
  <c r="E745" i="3" s="1"/>
  <c r="C747" i="3" l="1"/>
  <c r="D746" i="3"/>
  <c r="E746" i="3" s="1"/>
  <c r="F745" i="3"/>
  <c r="F746" i="3" l="1"/>
  <c r="C748" i="3"/>
  <c r="D747" i="3"/>
  <c r="E747" i="3" s="1"/>
  <c r="F747" i="3" l="1"/>
  <c r="C749" i="3"/>
  <c r="D748" i="3"/>
  <c r="E748" i="3" s="1"/>
  <c r="F748" i="3" l="1"/>
  <c r="C750" i="3"/>
  <c r="D749" i="3"/>
  <c r="E749" i="3" s="1"/>
  <c r="C751" i="3" l="1"/>
  <c r="D750" i="3"/>
  <c r="E750" i="3" s="1"/>
  <c r="F749" i="3"/>
  <c r="F750" i="3" l="1"/>
  <c r="C752" i="3"/>
  <c r="D751" i="3"/>
  <c r="E751" i="3" s="1"/>
  <c r="F751" i="3" l="1"/>
  <c r="C753" i="3"/>
  <c r="D752" i="3"/>
  <c r="E752" i="3" s="1"/>
  <c r="F752" i="3" l="1"/>
  <c r="C754" i="3"/>
  <c r="D753" i="3"/>
  <c r="E753" i="3" s="1"/>
  <c r="G753" i="3" l="1"/>
  <c r="F75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C755" i="3"/>
  <c r="D754" i="3"/>
  <c r="E754" i="3" s="1"/>
  <c r="G752" i="3"/>
  <c r="G754" i="3" l="1"/>
  <c r="F754" i="3"/>
  <c r="C756" i="3"/>
  <c r="D755" i="3"/>
  <c r="E755" i="3" s="1"/>
  <c r="G755" i="3" l="1"/>
  <c r="F755" i="3"/>
  <c r="C757" i="3"/>
  <c r="D756" i="3"/>
  <c r="E756" i="3" s="1"/>
  <c r="C758" i="3" l="1"/>
  <c r="D757" i="3"/>
  <c r="E757" i="3" s="1"/>
  <c r="G756" i="3"/>
  <c r="F756" i="3"/>
  <c r="G757" i="3" l="1"/>
  <c r="F757" i="3"/>
  <c r="C759" i="3"/>
  <c r="D758" i="3"/>
  <c r="E758" i="3" s="1"/>
  <c r="G758" i="3" l="1"/>
  <c r="F758" i="3"/>
  <c r="C760" i="3"/>
  <c r="D759" i="3"/>
  <c r="E759" i="3" s="1"/>
  <c r="G759" i="3" l="1"/>
  <c r="F759" i="3"/>
  <c r="C761" i="3"/>
  <c r="D760" i="3"/>
  <c r="E760" i="3" s="1"/>
  <c r="C762" i="3" l="1"/>
  <c r="D761" i="3"/>
  <c r="E761" i="3" s="1"/>
  <c r="G760" i="3"/>
  <c r="F760" i="3"/>
  <c r="G761" i="3" l="1"/>
  <c r="F761" i="3"/>
  <c r="C763" i="3"/>
  <c r="D762" i="3"/>
  <c r="E762" i="3" s="1"/>
  <c r="G762" i="3" l="1"/>
  <c r="F762" i="3"/>
  <c r="C764" i="3"/>
  <c r="D763" i="3"/>
  <c r="E763" i="3" s="1"/>
  <c r="C765" i="3" l="1"/>
  <c r="D764" i="3"/>
  <c r="E764" i="3" s="1"/>
  <c r="G763" i="3"/>
  <c r="F763" i="3"/>
  <c r="G764" i="3" l="1"/>
  <c r="F764" i="3"/>
  <c r="C766" i="3"/>
  <c r="D765" i="3"/>
  <c r="E765" i="3" s="1"/>
  <c r="G765" i="3" l="1"/>
  <c r="F765" i="3"/>
  <c r="C767" i="3"/>
  <c r="D766" i="3"/>
  <c r="E766" i="3" s="1"/>
  <c r="G766" i="3" l="1"/>
  <c r="F766" i="3"/>
  <c r="C768" i="3"/>
  <c r="D767" i="3"/>
  <c r="E767" i="3" s="1"/>
  <c r="G767" i="3" l="1"/>
  <c r="F767" i="3"/>
  <c r="C769" i="3"/>
  <c r="D768" i="3"/>
  <c r="E768" i="3" s="1"/>
  <c r="G768" i="3" l="1"/>
  <c r="F768" i="3"/>
  <c r="C770" i="3"/>
  <c r="D769" i="3"/>
  <c r="E769" i="3" s="1"/>
  <c r="C771" i="3" l="1"/>
  <c r="D770" i="3"/>
  <c r="E770" i="3" s="1"/>
  <c r="G769" i="3"/>
  <c r="F769" i="3"/>
  <c r="G770" i="3" l="1"/>
  <c r="F770" i="3"/>
  <c r="C772" i="3"/>
  <c r="D771" i="3"/>
  <c r="E771" i="3" s="1"/>
  <c r="G771" i="3" l="1"/>
  <c r="F771" i="3"/>
  <c r="C773" i="3"/>
  <c r="D772" i="3"/>
  <c r="E772" i="3" s="1"/>
  <c r="G772" i="3" l="1"/>
  <c r="F772" i="3"/>
  <c r="C774" i="3"/>
  <c r="D773" i="3"/>
  <c r="E773" i="3" s="1"/>
  <c r="G773" i="3" l="1"/>
  <c r="F773" i="3"/>
  <c r="C775" i="3"/>
  <c r="D774" i="3"/>
  <c r="E774" i="3" s="1"/>
  <c r="C776" i="3" l="1"/>
  <c r="D775" i="3"/>
  <c r="E775" i="3" s="1"/>
  <c r="G774" i="3"/>
  <c r="F774" i="3"/>
  <c r="G775" i="3" l="1"/>
  <c r="F775" i="3"/>
  <c r="C777" i="3"/>
  <c r="D776" i="3"/>
  <c r="E776" i="3" s="1"/>
  <c r="G776" i="3" l="1"/>
  <c r="F776" i="3"/>
  <c r="C778" i="3"/>
  <c r="D777" i="3"/>
  <c r="E777" i="3" s="1"/>
  <c r="F777" i="3" l="1"/>
  <c r="G777" i="3"/>
  <c r="C779" i="3"/>
  <c r="D778" i="3"/>
  <c r="E778" i="3" s="1"/>
  <c r="G778" i="3" l="1"/>
  <c r="F778" i="3"/>
  <c r="C780" i="3"/>
  <c r="D779" i="3"/>
  <c r="E779" i="3" s="1"/>
  <c r="C781" i="3" l="1"/>
  <c r="D780" i="3"/>
  <c r="E780" i="3" s="1"/>
  <c r="G779" i="3"/>
  <c r="F779" i="3"/>
  <c r="G780" i="3" l="1"/>
  <c r="F780" i="3"/>
  <c r="C782" i="3"/>
  <c r="D781" i="3"/>
  <c r="E781" i="3" s="1"/>
  <c r="G781" i="3" l="1"/>
  <c r="F781" i="3"/>
  <c r="C783" i="3"/>
  <c r="D782" i="3"/>
  <c r="E782" i="3" s="1"/>
  <c r="G782" i="3" l="1"/>
  <c r="F782" i="3"/>
  <c r="C784" i="3"/>
  <c r="D783" i="3"/>
  <c r="E783" i="3" s="1"/>
  <c r="G783" i="3" l="1"/>
  <c r="F783" i="3"/>
  <c r="C785" i="3"/>
  <c r="D784" i="3"/>
  <c r="E784" i="3" s="1"/>
  <c r="G784" i="3" l="1"/>
  <c r="F784" i="3"/>
  <c r="C786" i="3"/>
  <c r="D785" i="3"/>
  <c r="E785" i="3" s="1"/>
  <c r="G785" i="3" l="1"/>
  <c r="F785" i="3"/>
  <c r="C787" i="3"/>
  <c r="D786" i="3"/>
  <c r="E786" i="3" s="1"/>
  <c r="G786" i="3" l="1"/>
  <c r="F786" i="3"/>
  <c r="C788" i="3"/>
  <c r="D787" i="3"/>
  <c r="E787" i="3" s="1"/>
  <c r="G787" i="3" l="1"/>
  <c r="F787" i="3"/>
  <c r="C789" i="3"/>
  <c r="D788" i="3"/>
  <c r="E788" i="3" s="1"/>
  <c r="G788" i="3" l="1"/>
  <c r="F788" i="3"/>
  <c r="C790" i="3"/>
  <c r="D789" i="3"/>
  <c r="E789" i="3" s="1"/>
  <c r="C791" i="3" l="1"/>
  <c r="D790" i="3"/>
  <c r="E790" i="3" s="1"/>
  <c r="G789" i="3"/>
  <c r="F789" i="3"/>
  <c r="G790" i="3" l="1"/>
  <c r="F790" i="3"/>
  <c r="D791" i="3"/>
  <c r="E791" i="3" s="1"/>
  <c r="C792" i="3"/>
  <c r="D792" i="3" l="1"/>
  <c r="E792" i="3" s="1"/>
  <c r="C793" i="3"/>
  <c r="G791" i="3"/>
  <c r="F791" i="3"/>
  <c r="C794" i="3" l="1"/>
  <c r="D793" i="3"/>
  <c r="E793" i="3" s="1"/>
  <c r="F792" i="3"/>
  <c r="G792" i="3"/>
  <c r="F793" i="3" l="1"/>
  <c r="G793" i="3"/>
  <c r="C795" i="3"/>
  <c r="D794" i="3"/>
  <c r="E794" i="3" s="1"/>
  <c r="G794" i="3" l="1"/>
  <c r="F794" i="3"/>
  <c r="C796" i="3"/>
  <c r="D795" i="3"/>
  <c r="E795" i="3" s="1"/>
  <c r="G795" i="3" l="1"/>
  <c r="F795" i="3"/>
  <c r="C797" i="3"/>
  <c r="D796" i="3"/>
  <c r="E796" i="3" s="1"/>
  <c r="F796" i="3" l="1"/>
  <c r="G796" i="3"/>
  <c r="C798" i="3"/>
  <c r="D797" i="3"/>
  <c r="E797" i="3" s="1"/>
  <c r="F797" i="3" l="1"/>
  <c r="G797" i="3"/>
  <c r="C799" i="3"/>
  <c r="D798" i="3"/>
  <c r="E798" i="3" s="1"/>
  <c r="F798" i="3" l="1"/>
  <c r="G798" i="3"/>
  <c r="C800" i="3"/>
  <c r="D799" i="3"/>
  <c r="E799" i="3" s="1"/>
  <c r="G799" i="3" l="1"/>
  <c r="F799" i="3"/>
  <c r="C801" i="3"/>
  <c r="D801" i="3" s="1"/>
  <c r="D800" i="3"/>
  <c r="E800" i="3" s="1"/>
  <c r="F800" i="3" l="1"/>
  <c r="G800" i="3"/>
  <c r="E801" i="3"/>
  <c r="F801" i="3" l="1"/>
  <c r="G801" i="3"/>
</calcChain>
</file>

<file path=xl/sharedStrings.xml><?xml version="1.0" encoding="utf-8"?>
<sst xmlns="http://schemas.openxmlformats.org/spreadsheetml/2006/main" count="1575" uniqueCount="1003">
  <si>
    <t>Data</t>
  </si>
  <si>
    <t xml:space="preserve">IGP-DI - (% a.m.) - Fundação Getulio Vargas, Conjuntura Econômica - IGP (FGV/Conj. Econ. - IGP) - IGP12_IGPDIG12 - </t>
  </si>
  <si>
    <t>1944.02</t>
  </si>
  <si>
    <t>1944.03</t>
  </si>
  <si>
    <t>1944.04</t>
  </si>
  <si>
    <t>1944.05</t>
  </si>
  <si>
    <t>1944.06</t>
  </si>
  <si>
    <t>1944.07</t>
  </si>
  <si>
    <t>1944.08</t>
  </si>
  <si>
    <t>1944.09</t>
  </si>
  <si>
    <t>1944.10</t>
  </si>
  <si>
    <t>1944.11</t>
  </si>
  <si>
    <t>1944.12</t>
  </si>
  <si>
    <t>1945.01</t>
  </si>
  <si>
    <t>1945.02</t>
  </si>
  <si>
    <t>1945.03</t>
  </si>
  <si>
    <t>1945.04</t>
  </si>
  <si>
    <t>1945.05</t>
  </si>
  <si>
    <t>1945.06</t>
  </si>
  <si>
    <t>1945.07</t>
  </si>
  <si>
    <t>1945.08</t>
  </si>
  <si>
    <t>1945.09</t>
  </si>
  <si>
    <t>1945.10</t>
  </si>
  <si>
    <t>1945.11</t>
  </si>
  <si>
    <t>1945.12</t>
  </si>
  <si>
    <t>1946.01</t>
  </si>
  <si>
    <t>1946.02</t>
  </si>
  <si>
    <t>1946.03</t>
  </si>
  <si>
    <t>1946.04</t>
  </si>
  <si>
    <t>1946.05</t>
  </si>
  <si>
    <t>1946.06</t>
  </si>
  <si>
    <t>1946.07</t>
  </si>
  <si>
    <t>1946.08</t>
  </si>
  <si>
    <t>1946.09</t>
  </si>
  <si>
    <t>1946.10</t>
  </si>
  <si>
    <t>1946.11</t>
  </si>
  <si>
    <t>1946.12</t>
  </si>
  <si>
    <t>1947.01</t>
  </si>
  <si>
    <t>1947.02</t>
  </si>
  <si>
    <t>1947.03</t>
  </si>
  <si>
    <t>1947.04</t>
  </si>
  <si>
    <t>1947.05</t>
  </si>
  <si>
    <t>1947.06</t>
  </si>
  <si>
    <t>1947.07</t>
  </si>
  <si>
    <t>1947.08</t>
  </si>
  <si>
    <t>1947.09</t>
  </si>
  <si>
    <t>1947.10</t>
  </si>
  <si>
    <t>1947.11</t>
  </si>
  <si>
    <t>1947.12</t>
  </si>
  <si>
    <t>1948.01</t>
  </si>
  <si>
    <t>1948.02</t>
  </si>
  <si>
    <t>1948.03</t>
  </si>
  <si>
    <t>1948.04</t>
  </si>
  <si>
    <t>1948.05</t>
  </si>
  <si>
    <t>1948.06</t>
  </si>
  <si>
    <t>1948.07</t>
  </si>
  <si>
    <t>1948.08</t>
  </si>
  <si>
    <t>1948.09</t>
  </si>
  <si>
    <t>1948.10</t>
  </si>
  <si>
    <t>1948.11</t>
  </si>
  <si>
    <t>1948.12</t>
  </si>
  <si>
    <t>1949.01</t>
  </si>
  <si>
    <t>1949.02</t>
  </si>
  <si>
    <t>1949.03</t>
  </si>
  <si>
    <t>1949.04</t>
  </si>
  <si>
    <t>1949.05</t>
  </si>
  <si>
    <t>1949.06</t>
  </si>
  <si>
    <t>1949.07</t>
  </si>
  <si>
    <t>1949.08</t>
  </si>
  <si>
    <t>1949.09</t>
  </si>
  <si>
    <t>1949.10</t>
  </si>
  <si>
    <t>1949.11</t>
  </si>
  <si>
    <t>1949.12</t>
  </si>
  <si>
    <t>1950.01</t>
  </si>
  <si>
    <t>1950.02</t>
  </si>
  <si>
    <t>1950.03</t>
  </si>
  <si>
    <t>1950.04</t>
  </si>
  <si>
    <t>1950.05</t>
  </si>
  <si>
    <t>1950.06</t>
  </si>
  <si>
    <t>1950.07</t>
  </si>
  <si>
    <t>1950.08</t>
  </si>
  <si>
    <t>1950.09</t>
  </si>
  <si>
    <t>1950.10</t>
  </si>
  <si>
    <t>1950.11</t>
  </si>
  <si>
    <t>1950.12</t>
  </si>
  <si>
    <t>1951.01</t>
  </si>
  <si>
    <t>1951.02</t>
  </si>
  <si>
    <t>1951.03</t>
  </si>
  <si>
    <t>1951.04</t>
  </si>
  <si>
    <t>1951.05</t>
  </si>
  <si>
    <t>1951.06</t>
  </si>
  <si>
    <t>1951.07</t>
  </si>
  <si>
    <t>1951.08</t>
  </si>
  <si>
    <t>1951.09</t>
  </si>
  <si>
    <t>1951.10</t>
  </si>
  <si>
    <t>1951.11</t>
  </si>
  <si>
    <t>1951.12</t>
  </si>
  <si>
    <t>1952.01</t>
  </si>
  <si>
    <t>1952.02</t>
  </si>
  <si>
    <t>1952.03</t>
  </si>
  <si>
    <t>1952.04</t>
  </si>
  <si>
    <t>1952.05</t>
  </si>
  <si>
    <t>1952.06</t>
  </si>
  <si>
    <t>1952.07</t>
  </si>
  <si>
    <t>1952.08</t>
  </si>
  <si>
    <t>1952.09</t>
  </si>
  <si>
    <t>1952.10</t>
  </si>
  <si>
    <t>1952.11</t>
  </si>
  <si>
    <t>1952.12</t>
  </si>
  <si>
    <t>1953.01</t>
  </si>
  <si>
    <t>1953.02</t>
  </si>
  <si>
    <t>1953.03</t>
  </si>
  <si>
    <t>1953.04</t>
  </si>
  <si>
    <t>1953.05</t>
  </si>
  <si>
    <t>1953.06</t>
  </si>
  <si>
    <t>1953.07</t>
  </si>
  <si>
    <t>1953.08</t>
  </si>
  <si>
    <t>1953.09</t>
  </si>
  <si>
    <t>1953.10</t>
  </si>
  <si>
    <t>1953.11</t>
  </si>
  <si>
    <t>1953.12</t>
  </si>
  <si>
    <t>1954.01</t>
  </si>
  <si>
    <t>1954.02</t>
  </si>
  <si>
    <t>1954.03</t>
  </si>
  <si>
    <t>1954.04</t>
  </si>
  <si>
    <t>1954.05</t>
  </si>
  <si>
    <t>1954.06</t>
  </si>
  <si>
    <t>1954.07</t>
  </si>
  <si>
    <t>1954.08</t>
  </si>
  <si>
    <t>1954.09</t>
  </si>
  <si>
    <t>1954.10</t>
  </si>
  <si>
    <t>1954.11</t>
  </si>
  <si>
    <t>1954.12</t>
  </si>
  <si>
    <t>1955.01</t>
  </si>
  <si>
    <t>1955.02</t>
  </si>
  <si>
    <t>1955.03</t>
  </si>
  <si>
    <t>1955.04</t>
  </si>
  <si>
    <t>1955.05</t>
  </si>
  <si>
    <t>1955.06</t>
  </si>
  <si>
    <t>1955.07</t>
  </si>
  <si>
    <t>1955.08</t>
  </si>
  <si>
    <t>1955.09</t>
  </si>
  <si>
    <t>1955.10</t>
  </si>
  <si>
    <t>1955.11</t>
  </si>
  <si>
    <t>1955.12</t>
  </si>
  <si>
    <t>1956.01</t>
  </si>
  <si>
    <t>1956.02</t>
  </si>
  <si>
    <t>1956.03</t>
  </si>
  <si>
    <t>1956.04</t>
  </si>
  <si>
    <t>1956.05</t>
  </si>
  <si>
    <t>1956.06</t>
  </si>
  <si>
    <t>1956.07</t>
  </si>
  <si>
    <t>1956.08</t>
  </si>
  <si>
    <t>1956.09</t>
  </si>
  <si>
    <t>1956.10</t>
  </si>
  <si>
    <t>1956.11</t>
  </si>
  <si>
    <t>1956.12</t>
  </si>
  <si>
    <t>1957.01</t>
  </si>
  <si>
    <t>1957.02</t>
  </si>
  <si>
    <t>1957.03</t>
  </si>
  <si>
    <t>1957.04</t>
  </si>
  <si>
    <t>1957.05</t>
  </si>
  <si>
    <t>1957.06</t>
  </si>
  <si>
    <t>1957.07</t>
  </si>
  <si>
    <t>1957.08</t>
  </si>
  <si>
    <t>1957.09</t>
  </si>
  <si>
    <t>1957.10</t>
  </si>
  <si>
    <t>1957.11</t>
  </si>
  <si>
    <t>1957.12</t>
  </si>
  <si>
    <t>1958.01</t>
  </si>
  <si>
    <t>1958.02</t>
  </si>
  <si>
    <t>1958.03</t>
  </si>
  <si>
    <t>1958.04</t>
  </si>
  <si>
    <t>1958.05</t>
  </si>
  <si>
    <t>1958.06</t>
  </si>
  <si>
    <t>1958.07</t>
  </si>
  <si>
    <t>1958.08</t>
  </si>
  <si>
    <t>1958.09</t>
  </si>
  <si>
    <t>1958.10</t>
  </si>
  <si>
    <t>1958.11</t>
  </si>
  <si>
    <t>1958.12</t>
  </si>
  <si>
    <t>1959.01</t>
  </si>
  <si>
    <t>1959.02</t>
  </si>
  <si>
    <t>1959.03</t>
  </si>
  <si>
    <t>1959.04</t>
  </si>
  <si>
    <t>1959.05</t>
  </si>
  <si>
    <t>1959.06</t>
  </si>
  <si>
    <t>1959.07</t>
  </si>
  <si>
    <t>1959.08</t>
  </si>
  <si>
    <t>1959.09</t>
  </si>
  <si>
    <t>1959.10</t>
  </si>
  <si>
    <t>1959.11</t>
  </si>
  <si>
    <t>1959.12</t>
  </si>
  <si>
    <t>1960.01</t>
  </si>
  <si>
    <t>1960.02</t>
  </si>
  <si>
    <t>1960.03</t>
  </si>
  <si>
    <t>1960.04</t>
  </si>
  <si>
    <t>1960.05</t>
  </si>
  <si>
    <t>1960.06</t>
  </si>
  <si>
    <t>1960.07</t>
  </si>
  <si>
    <t>1960.08</t>
  </si>
  <si>
    <t>1960.09</t>
  </si>
  <si>
    <t>1960.10</t>
  </si>
  <si>
    <t>1960.11</t>
  </si>
  <si>
    <t>1960.12</t>
  </si>
  <si>
    <t>1961.01</t>
  </si>
  <si>
    <t>1961.02</t>
  </si>
  <si>
    <t>1961.03</t>
  </si>
  <si>
    <t>1961.04</t>
  </si>
  <si>
    <t>1961.05</t>
  </si>
  <si>
    <t>1961.06</t>
  </si>
  <si>
    <t>1961.07</t>
  </si>
  <si>
    <t>1961.08</t>
  </si>
  <si>
    <t>1961.09</t>
  </si>
  <si>
    <t>1961.10</t>
  </si>
  <si>
    <t>1961.11</t>
  </si>
  <si>
    <t>1961.12</t>
  </si>
  <si>
    <t>1962.01</t>
  </si>
  <si>
    <t>1962.02</t>
  </si>
  <si>
    <t>1962.03</t>
  </si>
  <si>
    <t>1962.04</t>
  </si>
  <si>
    <t>1962.05</t>
  </si>
  <si>
    <t>1962.06</t>
  </si>
  <si>
    <t>1962.07</t>
  </si>
  <si>
    <t>1962.08</t>
  </si>
  <si>
    <t>1962.09</t>
  </si>
  <si>
    <t>1962.10</t>
  </si>
  <si>
    <t>1962.11</t>
  </si>
  <si>
    <t>1962.12</t>
  </si>
  <si>
    <t>1963.01</t>
  </si>
  <si>
    <t>1963.02</t>
  </si>
  <si>
    <t>1963.03</t>
  </si>
  <si>
    <t>1963.04</t>
  </si>
  <si>
    <t>1963.05</t>
  </si>
  <si>
    <t>1963.06</t>
  </si>
  <si>
    <t>1963.07</t>
  </si>
  <si>
    <t>1963.08</t>
  </si>
  <si>
    <t>1963.09</t>
  </si>
  <si>
    <t>1963.10</t>
  </si>
  <si>
    <t>1963.11</t>
  </si>
  <si>
    <t>1963.12</t>
  </si>
  <si>
    <t>1964.01</t>
  </si>
  <si>
    <t>1964.02</t>
  </si>
  <si>
    <t>1964.03</t>
  </si>
  <si>
    <t>1964.04</t>
  </si>
  <si>
    <t>1964.05</t>
  </si>
  <si>
    <t>1964.06</t>
  </si>
  <si>
    <t>1964.07</t>
  </si>
  <si>
    <t>1964.08</t>
  </si>
  <si>
    <t>1964.09</t>
  </si>
  <si>
    <t>1964.10</t>
  </si>
  <si>
    <t>1964.11</t>
  </si>
  <si>
    <t>1964.12</t>
  </si>
  <si>
    <t>1965.01</t>
  </si>
  <si>
    <t>1965.02</t>
  </si>
  <si>
    <t>1965.03</t>
  </si>
  <si>
    <t>1965.04</t>
  </si>
  <si>
    <t>1965.05</t>
  </si>
  <si>
    <t>1965.06</t>
  </si>
  <si>
    <t>1965.07</t>
  </si>
  <si>
    <t>1965.08</t>
  </si>
  <si>
    <t>1965.09</t>
  </si>
  <si>
    <t>1965.10</t>
  </si>
  <si>
    <t>1965.11</t>
  </si>
  <si>
    <t>1965.12</t>
  </si>
  <si>
    <t>1966.01</t>
  </si>
  <si>
    <t>1966.02</t>
  </si>
  <si>
    <t>1966.03</t>
  </si>
  <si>
    <t>1966.04</t>
  </si>
  <si>
    <t>1966.05</t>
  </si>
  <si>
    <t>1966.06</t>
  </si>
  <si>
    <t>1966.07</t>
  </si>
  <si>
    <t>1966.08</t>
  </si>
  <si>
    <t>1966.09</t>
  </si>
  <si>
    <t>1966.10</t>
  </si>
  <si>
    <t>1966.11</t>
  </si>
  <si>
    <t>1966.12</t>
  </si>
  <si>
    <t>1967.01</t>
  </si>
  <si>
    <t>1967.02</t>
  </si>
  <si>
    <t>1967.03</t>
  </si>
  <si>
    <t>1967.04</t>
  </si>
  <si>
    <t>1967.05</t>
  </si>
  <si>
    <t>1967.06</t>
  </si>
  <si>
    <t>1967.07</t>
  </si>
  <si>
    <t>1967.08</t>
  </si>
  <si>
    <t>1967.09</t>
  </si>
  <si>
    <t>1967.10</t>
  </si>
  <si>
    <t>1967.11</t>
  </si>
  <si>
    <t>1967.12</t>
  </si>
  <si>
    <t>1968.01</t>
  </si>
  <si>
    <t>1968.02</t>
  </si>
  <si>
    <t>1968.03</t>
  </si>
  <si>
    <t>1968.04</t>
  </si>
  <si>
    <t>1968.05</t>
  </si>
  <si>
    <t>1968.06</t>
  </si>
  <si>
    <t>1968.07</t>
  </si>
  <si>
    <t>1968.08</t>
  </si>
  <si>
    <t>1968.09</t>
  </si>
  <si>
    <t>1968.10</t>
  </si>
  <si>
    <t>1968.11</t>
  </si>
  <si>
    <t>1968.12</t>
  </si>
  <si>
    <t>1969.01</t>
  </si>
  <si>
    <t>1969.02</t>
  </si>
  <si>
    <t>1969.03</t>
  </si>
  <si>
    <t>1969.04</t>
  </si>
  <si>
    <t>1969.05</t>
  </si>
  <si>
    <t>1969.06</t>
  </si>
  <si>
    <t>1969.07</t>
  </si>
  <si>
    <t>1969.08</t>
  </si>
  <si>
    <t>1969.09</t>
  </si>
  <si>
    <t>1969.10</t>
  </si>
  <si>
    <t>1969.11</t>
  </si>
  <si>
    <t>1969.12</t>
  </si>
  <si>
    <t>1970.01</t>
  </si>
  <si>
    <t>1970.02</t>
  </si>
  <si>
    <t>1970.03</t>
  </si>
  <si>
    <t>1970.04</t>
  </si>
  <si>
    <t>1970.05</t>
  </si>
  <si>
    <t>1970.06</t>
  </si>
  <si>
    <t>1970.07</t>
  </si>
  <si>
    <t>1970.08</t>
  </si>
  <si>
    <t>1970.09</t>
  </si>
  <si>
    <t>1970.10</t>
  </si>
  <si>
    <t>1970.11</t>
  </si>
  <si>
    <t>1970.12</t>
  </si>
  <si>
    <t>1971.01</t>
  </si>
  <si>
    <t>1971.02</t>
  </si>
  <si>
    <t>1971.03</t>
  </si>
  <si>
    <t>1971.04</t>
  </si>
  <si>
    <t>1971.05</t>
  </si>
  <si>
    <t>1971.06</t>
  </si>
  <si>
    <t>1971.07</t>
  </si>
  <si>
    <t>1971.08</t>
  </si>
  <si>
    <t>1971.09</t>
  </si>
  <si>
    <t>1971.10</t>
  </si>
  <si>
    <t>1971.11</t>
  </si>
  <si>
    <t>1971.12</t>
  </si>
  <si>
    <t>1972.01</t>
  </si>
  <si>
    <t>1972.02</t>
  </si>
  <si>
    <t>1972.03</t>
  </si>
  <si>
    <t>1972.04</t>
  </si>
  <si>
    <t>1972.05</t>
  </si>
  <si>
    <t>1972.06</t>
  </si>
  <si>
    <t>1972.07</t>
  </si>
  <si>
    <t>1972.08</t>
  </si>
  <si>
    <t>1972.09</t>
  </si>
  <si>
    <t>1972.10</t>
  </si>
  <si>
    <t>1972.11</t>
  </si>
  <si>
    <t>1972.12</t>
  </si>
  <si>
    <t>1973.01</t>
  </si>
  <si>
    <t>1973.02</t>
  </si>
  <si>
    <t>1973.03</t>
  </si>
  <si>
    <t>1973.04</t>
  </si>
  <si>
    <t>1973.05</t>
  </si>
  <si>
    <t>1973.06</t>
  </si>
  <si>
    <t>1973.07</t>
  </si>
  <si>
    <t>1973.08</t>
  </si>
  <si>
    <t>1973.09</t>
  </si>
  <si>
    <t>1973.10</t>
  </si>
  <si>
    <t>1973.11</t>
  </si>
  <si>
    <t>1973.12</t>
  </si>
  <si>
    <t>1974.01</t>
  </si>
  <si>
    <t>1974.02</t>
  </si>
  <si>
    <t>1974.03</t>
  </si>
  <si>
    <t>1974.04</t>
  </si>
  <si>
    <t>1974.05</t>
  </si>
  <si>
    <t>1974.06</t>
  </si>
  <si>
    <t>1974.07</t>
  </si>
  <si>
    <t>1974.08</t>
  </si>
  <si>
    <t>1974.09</t>
  </si>
  <si>
    <t>1974.10</t>
  </si>
  <si>
    <t>1974.11</t>
  </si>
  <si>
    <t>1974.12</t>
  </si>
  <si>
    <t>1975.01</t>
  </si>
  <si>
    <t>1975.02</t>
  </si>
  <si>
    <t>1975.03</t>
  </si>
  <si>
    <t>1975.04</t>
  </si>
  <si>
    <t>1975.05</t>
  </si>
  <si>
    <t>1975.06</t>
  </si>
  <si>
    <t>1975.07</t>
  </si>
  <si>
    <t>1975.08</t>
  </si>
  <si>
    <t>1975.09</t>
  </si>
  <si>
    <t>1975.10</t>
  </si>
  <si>
    <t>1975.11</t>
  </si>
  <si>
    <t>1975.12</t>
  </si>
  <si>
    <t>1976.01</t>
  </si>
  <si>
    <t>1976.02</t>
  </si>
  <si>
    <t>1976.03</t>
  </si>
  <si>
    <t>1976.04</t>
  </si>
  <si>
    <t>1976.05</t>
  </si>
  <si>
    <t>1976.06</t>
  </si>
  <si>
    <t>1976.07</t>
  </si>
  <si>
    <t>1976.08</t>
  </si>
  <si>
    <t>1976.09</t>
  </si>
  <si>
    <t>1976.10</t>
  </si>
  <si>
    <t>1976.11</t>
  </si>
  <si>
    <t>1976.12</t>
  </si>
  <si>
    <t>1977.01</t>
  </si>
  <si>
    <t>1977.02</t>
  </si>
  <si>
    <t>1977.03</t>
  </si>
  <si>
    <t>1977.04</t>
  </si>
  <si>
    <t>1977.05</t>
  </si>
  <si>
    <t>1977.06</t>
  </si>
  <si>
    <t>1977.07</t>
  </si>
  <si>
    <t>1977.08</t>
  </si>
  <si>
    <t>1977.09</t>
  </si>
  <si>
    <t>1977.10</t>
  </si>
  <si>
    <t>1977.11</t>
  </si>
  <si>
    <t>1977.12</t>
  </si>
  <si>
    <t>1978.01</t>
  </si>
  <si>
    <t>1978.02</t>
  </si>
  <si>
    <t>1978.03</t>
  </si>
  <si>
    <t>1978.04</t>
  </si>
  <si>
    <t>1978.05</t>
  </si>
  <si>
    <t>1978.06</t>
  </si>
  <si>
    <t>1978.07</t>
  </si>
  <si>
    <t>1978.08</t>
  </si>
  <si>
    <t>1978.09</t>
  </si>
  <si>
    <t>1978.10</t>
  </si>
  <si>
    <t>1978.11</t>
  </si>
  <si>
    <t>1978.12</t>
  </si>
  <si>
    <t>1979.01</t>
  </si>
  <si>
    <t>1979.02</t>
  </si>
  <si>
    <t>1979.03</t>
  </si>
  <si>
    <t>1979.04</t>
  </si>
  <si>
    <t>1979.05</t>
  </si>
  <si>
    <t>1979.06</t>
  </si>
  <si>
    <t>1979.07</t>
  </si>
  <si>
    <t>1979.08</t>
  </si>
  <si>
    <t>1979.09</t>
  </si>
  <si>
    <t>1979.10</t>
  </si>
  <si>
    <t>1979.11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</si>
  <si>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</si>
  <si>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</si>
  <si>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</si>
  <si>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</si>
  <si>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</si>
  <si>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</si>
  <si>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</si>
  <si>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</si>
  <si>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</si>
  <si>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</si>
  <si>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</si>
  <si>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</si>
  <si>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</si>
  <si>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</si>
  <si>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</si>
  <si>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</si>
  <si>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</si>
  <si>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</si>
  <si>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</si>
  <si>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</si>
  <si>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</si>
  <si>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</si>
  <si>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</si>
  <si>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</si>
  <si>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</si>
  <si>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</si>
  <si>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</si>
  <si>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</si>
  <si>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</si>
  <si>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</si>
  <si>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</si>
  <si>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</si>
  <si>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</si>
  <si>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</si>
  <si>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</si>
  <si>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</si>
  <si>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</si>
  <si>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</si>
  <si>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</si>
  <si>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</si>
  <si>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</si>
  <si>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</si>
  <si>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</si>
  <si>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</si>
  <si>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</si>
  <si>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</si>
  <si>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</si>
  <si>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</si>
  <si>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</si>
  <si>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</si>
  <si>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</si>
  <si>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</si>
  <si>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</si>
  <si>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</si>
  <si>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</si>
  <si>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</si>
  <si>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</si>
  <si>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</si>
  <si>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</si>
  <si>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</si>
  <si>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</si>
  <si>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</si>
  <si>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</si>
  <si>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</si>
  <si>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</si>
  <si>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</si>
  <si>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</si>
  <si>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</si>
  <si>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</si>
  <si>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</si>
  <si>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</si>
  <si>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</si>
  <si>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</si>
  <si>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</si>
  <si>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</si>
  <si>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</si>
  <si>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</si>
  <si>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</si>
  <si>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</si>
  <si>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</si>
  <si>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</si>
  <si>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</si>
  <si>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</si>
  <si>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</si>
  <si>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</si>
  <si>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</si>
  <si>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</si>
  <si>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</si>
  <si>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</si>
  <si>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</si>
  <si>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</si>
  <si>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</si>
  <si>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</si>
  <si>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</si>
  <si>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</si>
  <si>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</si>
  <si>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</si>
  <si>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</si>
  <si>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</si>
  <si>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</si>
  <si>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</si>
  <si>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</si>
  <si>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</si>
  <si>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</si>
  <si>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</si>
  <si>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</si>
  <si>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</si>
  <si>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</si>
  <si>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</si>
  <si>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</si>
  <si>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</si>
  <si>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</si>
  <si>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</si>
  <si>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</si>
  <si>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</si>
  <si>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</si>
  <si>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</si>
  <si>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</si>
  <si>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</si>
  <si>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</si>
  <si>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</si>
  <si>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</si>
  <si>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</si>
  <si>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</si>
  <si>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</si>
  <si>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</si>
  <si>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</si>
  <si>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</si>
  <si>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</si>
  <si>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</si>
  <si>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</si>
  <si>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</si>
  <si>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</si>
  <si>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</si>
  <si>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</si>
  <si>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</si>
  <si>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</si>
  <si>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</si>
  <si>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</si>
  <si>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</si>
  <si>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</si>
  <si>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</si>
  <si>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</si>
  <si>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</si>
  <si>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</si>
  <si>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</si>
  <si>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</si>
  <si>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</si>
  <si>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</si>
  <si>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</si>
  <si>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</si>
  <si>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</si>
  <si>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</si>
  <si>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</si>
  <si>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</si>
  <si>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</si>
  <si>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</si>
  <si>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</si>
  <si>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</si>
  <si>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</si>
  <si>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</si>
  <si>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</si>
  <si>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</si>
  <si>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</si>
  <si>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</si>
  <si>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</si>
  <si>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</si>
  <si>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</si>
  <si>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</si>
  <si>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</si>
  <si>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</si>
  <si>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</si>
  <si>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</si>
  <si>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</si>
  <si>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</si>
  <si>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</si>
  <si>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</si>
  <si>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</si>
  <si>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</si>
  <si>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</si>
  <si>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</si>
  <si>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</si>
  <si>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</si>
  <si>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</si>
  <si>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</si>
  <si>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</si>
  <si>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</si>
  <si>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</si>
  <si>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</si>
  <si>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</si>
  <si>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</si>
  <si>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</si>
  <si>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</si>
  <si>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</si>
  <si>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</si>
  <si>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</si>
  <si>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</si>
  <si>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</si>
  <si>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</si>
  <si>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</si>
  <si>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</si>
  <si>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</si>
  <si>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</si>
  <si>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</si>
  <si>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</si>
  <si>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</si>
  <si>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</si>
  <si>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</si>
  <si>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</si>
  <si>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</si>
  <si>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</si>
  <si>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</si>
  <si>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</si>
  <si>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</si>
  <si>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</si>
  <si>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</si>
  <si>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</si>
  <si>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</si>
  <si>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</si>
  <si>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</si>
  <si>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</si>
  <si>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</si>
  <si>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</si>
  <si>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</si>
  <si>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</si>
  <si>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</si>
  <si>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</si>
  <si>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</si>
  <si>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</si>
  <si>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</si>
  <si>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</si>
  <si>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</si>
  <si>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</si>
  <si>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</si>
  <si>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</si>
  <si>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</si>
  <si>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</si>
  <si>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</si>
  <si>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</si>
  <si>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</si>
  <si>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</si>
  <si>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</si>
  <si>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</si>
  <si>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</si>
  <si>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</si>
  <si>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</si>
  <si>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</si>
  <si>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</si>
  <si>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</si>
  <si>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</si>
  <si>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</si>
  <si>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</si>
  <si>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</si>
  <si>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</si>
  <si>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</si>
  <si>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</si>
  <si>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</si>
  <si>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</si>
  <si>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</si>
  <si>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</si>
  <si>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</si>
  <si>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</si>
  <si>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</si>
  <si>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</si>
  <si>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</si>
  <si>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</si>
  <si>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</si>
  <si>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</si>
  <si>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</si>
  <si>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</si>
  <si>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</si>
  <si>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</si>
  <si>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</si>
  <si>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</si>
  <si>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</si>
  <si>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</si>
  <si>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</si>
  <si>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</si>
  <si>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</si>
  <si>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</si>
  <si>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</si>
  <si>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</si>
  <si>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</si>
  <si>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</si>
  <si>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</si>
  <si>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</si>
  <si>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</si>
  <si>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</si>
  <si>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</si>
  <si>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</si>
  <si>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</si>
  <si>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</si>
  <si>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</si>
  <si>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</si>
  <si>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</si>
  <si>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</si>
  <si>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</si>
  <si>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</si>
  <si>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</si>
  <si>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</si>
  <si>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</si>
  <si>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</si>
  <si>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</si>
  <si>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</si>
  <si>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</si>
  <si>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</si>
  <si>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</si>
  <si>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</si>
  <si>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</si>
  <si>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</si>
  <si>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</si>
  <si>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</si>
  <si>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</si>
  <si>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</si>
  <si>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</si>
  <si>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</si>
  <si>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</si>
  <si>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</si>
  <si>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</si>
  <si>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</si>
  <si>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</si>
  <si>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</si>
  <si>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</si>
  <si>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</si>
  <si>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</si>
  <si>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</si>
  <si>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</si>
  <si>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</si>
  <si>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</si>
  <si>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</si>
  <si>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</si>
  <si>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</si>
  <si>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</si>
  <si>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</si>
  <si>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</si>
  <si>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</si>
  <si>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</si>
  <si>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</si>
  <si>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</si>
  <si>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</si>
  <si>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</si>
  <si>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</si>
  <si>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</si>
  <si>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</si>
  <si>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</si>
  <si>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</si>
  <si>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</si>
  <si>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</si>
  <si>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</si>
  <si>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</si>
  <si>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</si>
  <si>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</si>
  <si>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</si>
  <si>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</si>
  <si>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</si>
  <si>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</si>
  <si>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</si>
  <si>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</si>
  <si>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</si>
  <si>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</si>
  <si>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</si>
  <si>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</si>
  <si>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</si>
  <si>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</si>
  <si>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</si>
  <si>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</si>
  <si>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</si>
  <si>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</si>
  <si>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</si>
  <si>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</si>
  <si>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</si>
  <si>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</si>
  <si>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</si>
  <si>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</si>
  <si>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</si>
  <si>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</si>
  <si>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</si>
  <si>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</si>
  <si>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</si>
  <si>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</si>
  <si>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</si>
  <si>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</si>
  <si>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</si>
  <si>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</si>
  <si>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</si>
  <si>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</si>
  <si>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</si>
  <si>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</si>
  <si>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</si>
  <si>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</si>
  <si>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</si>
  <si>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</si>
  <si>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</si>
  <si>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</si>
  <si>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</si>
  <si>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</si>
  <si>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</si>
  <si>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</si>
  <si>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</si>
  <si>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</si>
  <si>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</si>
  <si>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</si>
  <si>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</si>
  <si>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</si>
  <si>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</si>
  <si>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</si>
  <si>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</si>
  <si>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</si>
  <si>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</si>
  <si>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</si>
  <si>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</si>
  <si>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</si>
  <si>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</si>
  <si>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</si>
  <si>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</si>
  <si>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</si>
  <si>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</si>
  <si>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</si>
  <si>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</si>
  <si>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</si>
  <si>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</si>
  <si>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</si>
  <si>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</si>
  <si>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</si>
  <si>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</si>
  <si>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</si>
  <si>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</si>
  <si>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</si>
  <si>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</si>
  <si>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</si>
  <si>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</si>
  <si>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</si>
  <si>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</si>
  <si>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</si>
  <si>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</si>
  <si>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</si>
  <si>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</si>
  <si>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</si>
  <si>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</si>
  <si>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</si>
  <si>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</si>
  <si>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</si>
  <si>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</si>
  <si>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</si>
  <si>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</si>
  <si>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</si>
  <si>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</si>
  <si>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</si>
  <si>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</si>
  <si>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</si>
  <si>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</si>
  <si>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</si>
  <si>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</si>
  <si>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</si>
  <si>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</si>
  <si>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</si>
  <si>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</si>
  <si>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</si>
  <si>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</si>
  <si>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</si>
  <si>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</si>
  <si>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</si>
  <si>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</si>
  <si>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</si>
  <si>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</si>
  <si>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</si>
  <si>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</si>
  <si>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</si>
  <si>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</si>
  <si>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</si>
  <si>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</si>
  <si>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</si>
  <si>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</si>
  <si>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</si>
  <si>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</si>
  <si>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</si>
  <si>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</si>
  <si>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</si>
  <si>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</si>
  <si>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</si>
  <si>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</si>
  <si>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</si>
  <si>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</si>
  <si>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</si>
  <si>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</si>
  <si>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</si>
  <si>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</si>
  <si>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</si>
  <si>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</si>
  <si>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</si>
  <si>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</si>
  <si>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</si>
  <si>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</si>
  <si>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</si>
  <si>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</si>
  <si>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</si>
  <si>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</si>
  <si>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</si>
  <si>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</si>
  <si>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</si>
  <si>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</si>
  <si>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</si>
  <si>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</si>
  <si>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</si>
  <si>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</si>
  <si>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</si>
  <si>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</si>
  <si>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</si>
  <si>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</si>
  <si>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</si>
  <si>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</si>
  <si>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</si>
  <si>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</si>
  <si>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</si>
  <si>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</si>
  <si>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</si>
  <si>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</si>
  <si>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</si>
  <si>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</si>
  <si>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</si>
  <si>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</si>
  <si>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</si>
  <si>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</si>
  <si>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</si>
  <si>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</si>
  <si>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</si>
  <si>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</si>
  <si>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</si>
  <si>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</si>
  <si>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</si>
  <si>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</si>
  <si>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</si>
  <si>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</si>
  <si>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</si>
  <si>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</si>
  <si>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</si>
  <si>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</si>
  <si>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</si>
  <si>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</si>
  <si>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</si>
  <si>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</si>
  <si>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</si>
  <si>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</si>
  <si>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</si>
  <si>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</si>
  <si>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</si>
  <si>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</si>
  <si>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</si>
  <si>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</si>
  <si>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</si>
  <si>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 xml:space="preserve">INPC - geral - taxa de variação - (% a.m.) - Instituto Brasileiro de Geografia e Estatística, Sistema Nacional de Índices de Preços ao Consumidor (IBGE/SNIPC) - PRECOS12_INPCBR12 - </t>
  </si>
  <si>
    <t>Índice - taxa de variação (% a.m.)</t>
  </si>
  <si>
    <t>Transformando em índice</t>
  </si>
  <si>
    <t>Centrando no dia 1 do mês</t>
  </si>
  <si>
    <t>Fazendo o 1 ser em jan/02 (ref artigo)</t>
  </si>
  <si>
    <t>Fazendo o 1 ser em jul/2022 (referência Censo 2022)</t>
  </si>
  <si>
    <t>Ano</t>
  </si>
  <si>
    <t>Conversor</t>
  </si>
  <si>
    <r>
      <t xml:space="preserve">Ajustando para o </t>
    </r>
    <r>
      <rPr>
        <b/>
        <i/>
        <sz val="12"/>
        <color theme="1"/>
        <rFont val="Aptos Narrow"/>
        <scheme val="minor"/>
      </rPr>
      <t>carry-over</t>
    </r>
    <r>
      <rPr>
        <b/>
        <sz val="12"/>
        <color theme="1"/>
        <rFont val="Aptos Narrow"/>
        <scheme val="minor"/>
      </rPr>
      <t xml:space="preserve"> da inflação na mudança para o Plano Real em julho de 1994</t>
    </r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</si>
  <si>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</si>
  <si>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</si>
  <si>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</si>
  <si>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</si>
  <si>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</si>
  <si>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</si>
  <si>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</si>
  <si>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</si>
  <si>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</si>
  <si>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</si>
  <si>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Deflator</t>
  </si>
  <si>
    <r>
      <t xml:space="preserve">Cálculo para deflacionamento dos Censos Demográficos do Brasil, coletados pelo IBGE, compatibilizando as informações de renda entre 1960 e 2022.
O ano de referência para a renda real será 2022. O mês de referência do Censo 2022, de acordo com o IBGE, foi julho de 2022, marco adotado para deflacionar as rendas.
A metodologia adotada se baseia na proposta do Texto para Discussão (TD) N° 897 do Ipea, de julho de 2002. Ideia geral: (i) Ajustando para o </t>
    </r>
    <r>
      <rPr>
        <i/>
        <sz val="16"/>
        <color theme="1"/>
        <rFont val="Aptos Narrow"/>
        <scheme val="minor"/>
      </rPr>
      <t>carry-over</t>
    </r>
    <r>
      <rPr>
        <sz val="16"/>
        <color theme="1"/>
        <rFont val="Aptos Narrow"/>
        <family val="2"/>
        <scheme val="minor"/>
      </rPr>
      <t xml:space="preserve"> da inflação na mudança para o Plano Real em julho de 1994 - durante o mês de julho, na transição de moeda implementada pelo Plano Real, de Cruzeiro Real para Real, coexistiram 2 moedas circulando, o Real e a Unidade Real de Valor (URV). O índice de preços INPC foi medido entre URV e reais, mas muitas pessoas enfrentaram variações de preços em cruzeiros reais nesse período. Portanto, para considerar ambos os efeitos, levou-se em consideração a variação adicional de 22,25%, que recupera a diferença entre as variações de real-URV e real-cruzeiro real; (ii) Centrando no dia 1 do mês - os índices de preços utilizados são originlmente centrados no dia 15 do mês. Contudo, como  o trabalho é a principal fonte de renda declarada em
pesquisas domiciliares e essa renda costuma ser recebida no início do mês, faz mais sentido ter o índice referente a esse período para melhor medir o poder de compra dos rendimentos das famílias e indivíduos. Para mais detalhes, ver texto disponível em https://www.ipeadata.gov.br/doc/Corseuil2002.pdf.
Os índices de preço utilizados são IGP-DI e INPC. Em cada ano de Censo, é utilizado um valor único para todo o país. O INPC para o período de 1980 a 2022 e o IGP-DI para os Censos de 1960 e 1970. Ambas as séries foram extraídas do repositório do ipeadata, navegando no menu "macroeconômico &gt; temas &gt; preços &gt; todas" e selecionando (i) IGP-DI mensal (IGP-DI - (% a.m.) - Fundação Getulio Vargas, Conjuntura Econômica - IGP (FGV/Conj. Econ. - IGP) - IGP12_IGPDIG12) e (ii) INPC geral taxa de variação mensal (INPC - geral - taxa de variação - (% a.m.) - Instituto Brasileiro de Geografia e Estatística, Sistema Nacional de Índices de Preços ao Consumidor (IBGE/SNIPC) - PRECOS12_INPCBR12).
As séries originais estão: (i) do IGP-DI, na planilha "IGP-DI"; (ii) do INPC, na planilha "INPC". O deflator é calculado na planilha "Deflator compatibilizacao Censo" e o conversor de moedas das mudanças ocasionadas pelos planos de estabilização da moeda está na planilha "Conversor moeda compat Censo".
De 1970 a 1991, as datas de referência das pesquisas foram dia 1º de setembro (noite de 31 de agosto a 1º de setembro). De 2000 a 2022, foram 1º de agosto (noite de 31 de julho a 1º de agosto). Nesse sentido, os meses de referência para as rendas foram os meses anteriores. </t>
    </r>
    <r>
      <rPr>
        <b/>
        <sz val="16"/>
        <color theme="1"/>
        <rFont val="Aptos Narrow"/>
        <scheme val="minor"/>
      </rPr>
      <t>Nos casos de 1970 a 1991, agosto; nos casos de 2000 a 2022, julho</t>
    </r>
    <r>
      <rPr>
        <sz val="16"/>
        <color theme="1"/>
        <rFont val="Aptos Narrow"/>
        <family val="2"/>
        <scheme val="minor"/>
      </rPr>
      <t>. Fonte: https://memoria.ibge.gov.br/historia-do-ibge/historico-dos-censos/censos-demograficos; https://www.ibge.gov.br/estatisticas/sociais/trabalho/22827-censo-demografico-2022.html?=&amp;t=conceitos-e-metodos.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</si>
</sst>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"/>
    <numFmt numFmtId="165" formatCode="0.00000000000000000"/>
    <numFmt numFmtId="166" formatCode="0.0000000000000000000"/>
  </numFmts>
  <fonts count="1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6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indexed="8"/>
      <name val="Aptos Narrow"/>
      <scheme val="minor"/>
    </font>
    <font>
      <sz val="12"/>
      <color indexed="8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/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/>
    </xf>
    <xf numFmtId="0" fontId="10" fillId="0" borderId="0" xfId="0" applyFont="1"/>
    <xf numFmtId="4" fontId="13" fillId="0" borderId="0" xfId="0" applyNumberFormat="1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EBAF-EB66-7847-8F7C-C4B5AD6A95E9}">
  <dimension ref="B1:B3"/>
  <sheetViews>
    <sheetView showGridLines="0" tabSelected="1" zoomScale="93" workbookViewId="0">
      <selection activeCell="B4" sqref="B4"/>
    </sheetView>
  </sheetViews>
  <sheetFormatPr baseColWidth="10" defaultRowHeight="16" x14ac:dyDescent="0.2"/>
  <cols>
    <col min="1" max="1" width="4.6640625" customWidth="1"/>
    <col min="2" max="2" width="230.1640625" customWidth="1"/>
  </cols>
  <sheetData>
    <row r="1" spans="2:2" ht="17" thickBot="1" x14ac:dyDescent="0.25"/>
    <row r="2" spans="2:2" ht="409" customHeight="1" x14ac:dyDescent="0.2">
      <c r="B2" s="12" t="s">
        <v>1002</v>
      </c>
    </row>
    <row r="3" spans="2:2" ht="93" customHeight="1" thickBot="1" x14ac:dyDescent="0.25">
      <c r="B3" s="13"/>
    </row>
  </sheetData>
  <mergeCells count="1">
    <mergeCell ref="B2:B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E308-F336-F041-9BB5-698CCAFEC1DF}">
  <dimension ref="A1:B991"/>
  <sheetViews>
    <sheetView workbookViewId="0"/>
  </sheetViews>
  <sheetFormatPr baseColWidth="10" defaultRowHeight="16" x14ac:dyDescent="0.2"/>
  <cols>
    <col min="1" max="1" width="7.6640625" style="2" bestFit="1" customWidth="1"/>
    <col min="2" max="2" width="30.83203125" style="17" customWidth="1"/>
  </cols>
  <sheetData>
    <row r="1" spans="1:2" ht="68" x14ac:dyDescent="0.2">
      <c r="A1" s="11" t="s">
        <v>0</v>
      </c>
      <c r="B1" s="18" t="s">
        <v>1</v>
      </c>
    </row>
    <row r="2" spans="1:2" x14ac:dyDescent="0.2">
      <c r="A2" s="2" t="s">
        <v>2</v>
      </c>
      <c r="B2" s="19">
        <v>1.45</v>
      </c>
    </row>
    <row r="3" spans="1:2" x14ac:dyDescent="0.2">
      <c r="A3" s="2" t="s">
        <v>3</v>
      </c>
      <c r="B3" s="19">
        <v>1.43</v>
      </c>
    </row>
    <row r="4" spans="1:2" x14ac:dyDescent="0.2">
      <c r="A4" s="2" t="s">
        <v>4</v>
      </c>
      <c r="B4" s="19">
        <v>1.41</v>
      </c>
    </row>
    <row r="5" spans="1:2" x14ac:dyDescent="0.2">
      <c r="A5" s="2" t="s">
        <v>5</v>
      </c>
      <c r="B5" s="19">
        <v>1.39</v>
      </c>
    </row>
    <row r="6" spans="1:2" x14ac:dyDescent="0.2">
      <c r="A6" s="2" t="s">
        <v>6</v>
      </c>
      <c r="B6" s="19">
        <v>1.37</v>
      </c>
    </row>
    <row r="7" spans="1:2" x14ac:dyDescent="0.2">
      <c r="A7" s="2" t="s">
        <v>7</v>
      </c>
      <c r="B7" s="19">
        <v>1.35</v>
      </c>
    </row>
    <row r="8" spans="1:2" x14ac:dyDescent="0.2">
      <c r="A8" s="2" t="s">
        <v>8</v>
      </c>
      <c r="B8" s="19">
        <v>1.33</v>
      </c>
    </row>
    <row r="9" spans="1:2" x14ac:dyDescent="0.2">
      <c r="A9" s="2" t="s">
        <v>9</v>
      </c>
      <c r="B9" s="19">
        <v>1.32</v>
      </c>
    </row>
    <row r="10" spans="1:2" x14ac:dyDescent="0.2">
      <c r="A10" s="2" t="s">
        <v>10</v>
      </c>
      <c r="B10" s="19">
        <v>2.6</v>
      </c>
    </row>
    <row r="11" spans="1:2" x14ac:dyDescent="0.2">
      <c r="A11" s="2" t="s">
        <v>11</v>
      </c>
      <c r="B11" s="19">
        <v>2.5299999999999998</v>
      </c>
    </row>
    <row r="12" spans="1:2" x14ac:dyDescent="0.2">
      <c r="A12" s="2" t="s">
        <v>12</v>
      </c>
      <c r="B12" s="19">
        <v>0</v>
      </c>
    </row>
    <row r="13" spans="1:2" x14ac:dyDescent="0.2">
      <c r="A13" s="2" t="s">
        <v>13</v>
      </c>
      <c r="B13" s="19">
        <v>1.23</v>
      </c>
    </row>
    <row r="14" spans="1:2" x14ac:dyDescent="0.2">
      <c r="A14" s="2" t="s">
        <v>14</v>
      </c>
      <c r="B14" s="19">
        <v>2.44</v>
      </c>
    </row>
    <row r="15" spans="1:2" x14ac:dyDescent="0.2">
      <c r="A15" s="2" t="s">
        <v>15</v>
      </c>
      <c r="B15" s="19">
        <v>-1.19</v>
      </c>
    </row>
    <row r="16" spans="1:2" x14ac:dyDescent="0.2">
      <c r="A16" s="2" t="s">
        <v>16</v>
      </c>
      <c r="B16" s="19">
        <v>0</v>
      </c>
    </row>
    <row r="17" spans="1:2" x14ac:dyDescent="0.2">
      <c r="A17" s="2" t="s">
        <v>17</v>
      </c>
      <c r="B17" s="19">
        <v>1.2</v>
      </c>
    </row>
    <row r="18" spans="1:2" x14ac:dyDescent="0.2">
      <c r="A18" s="2" t="s">
        <v>18</v>
      </c>
      <c r="B18" s="19">
        <v>1.19</v>
      </c>
    </row>
    <row r="19" spans="1:2" x14ac:dyDescent="0.2">
      <c r="A19" s="2" t="s">
        <v>19</v>
      </c>
      <c r="B19" s="19">
        <v>1.18</v>
      </c>
    </row>
    <row r="20" spans="1:2" x14ac:dyDescent="0.2">
      <c r="A20" s="2" t="s">
        <v>20</v>
      </c>
      <c r="B20" s="19">
        <v>1.1599999999999999</v>
      </c>
    </row>
    <row r="21" spans="1:2" x14ac:dyDescent="0.2">
      <c r="A21" s="2" t="s">
        <v>21</v>
      </c>
      <c r="B21" s="19">
        <v>0</v>
      </c>
    </row>
    <row r="22" spans="1:2" x14ac:dyDescent="0.2">
      <c r="A22" s="2" t="s">
        <v>22</v>
      </c>
      <c r="B22" s="19">
        <v>1.1499999999999999</v>
      </c>
    </row>
    <row r="23" spans="1:2" x14ac:dyDescent="0.2">
      <c r="A23" s="2" t="s">
        <v>23</v>
      </c>
      <c r="B23" s="19">
        <v>1.1399999999999999</v>
      </c>
    </row>
    <row r="24" spans="1:2" x14ac:dyDescent="0.2">
      <c r="A24" s="2" t="s">
        <v>24</v>
      </c>
      <c r="B24" s="19">
        <v>1.1200000000000001</v>
      </c>
    </row>
    <row r="25" spans="1:2" x14ac:dyDescent="0.2">
      <c r="A25" s="2" t="s">
        <v>25</v>
      </c>
      <c r="B25" s="19">
        <v>1.1100000000000001</v>
      </c>
    </row>
    <row r="26" spans="1:2" x14ac:dyDescent="0.2">
      <c r="A26" s="2" t="s">
        <v>26</v>
      </c>
      <c r="B26" s="19">
        <v>1.1000000000000001</v>
      </c>
    </row>
    <row r="27" spans="1:2" x14ac:dyDescent="0.2">
      <c r="A27" s="2" t="s">
        <v>27</v>
      </c>
      <c r="B27" s="19">
        <v>1.0900000000000001</v>
      </c>
    </row>
    <row r="28" spans="1:2" x14ac:dyDescent="0.2">
      <c r="A28" s="2" t="s">
        <v>28</v>
      </c>
      <c r="B28" s="19">
        <v>1.08</v>
      </c>
    </row>
    <row r="29" spans="1:2" x14ac:dyDescent="0.2">
      <c r="A29" s="2" t="s">
        <v>29</v>
      </c>
      <c r="B29" s="19">
        <v>1.06</v>
      </c>
    </row>
    <row r="30" spans="1:2" x14ac:dyDescent="0.2">
      <c r="A30" s="2" t="s">
        <v>30</v>
      </c>
      <c r="B30" s="19">
        <v>3.16</v>
      </c>
    </row>
    <row r="31" spans="1:2" x14ac:dyDescent="0.2">
      <c r="A31" s="2" t="s">
        <v>31</v>
      </c>
      <c r="B31" s="19">
        <v>2.04</v>
      </c>
    </row>
    <row r="32" spans="1:2" x14ac:dyDescent="0.2">
      <c r="A32" s="2" t="s">
        <v>32</v>
      </c>
      <c r="B32" s="19">
        <v>4</v>
      </c>
    </row>
    <row r="33" spans="1:2" x14ac:dyDescent="0.2">
      <c r="A33" s="2" t="s">
        <v>33</v>
      </c>
      <c r="B33" s="19">
        <v>2.88</v>
      </c>
    </row>
    <row r="34" spans="1:2" x14ac:dyDescent="0.2">
      <c r="A34" s="2" t="s">
        <v>34</v>
      </c>
      <c r="B34" s="19">
        <v>0.93</v>
      </c>
    </row>
    <row r="35" spans="1:2" x14ac:dyDescent="0.2">
      <c r="A35" s="2" t="s">
        <v>35</v>
      </c>
      <c r="B35" s="19">
        <v>0.93</v>
      </c>
    </row>
    <row r="36" spans="1:2" x14ac:dyDescent="0.2">
      <c r="A36" s="2" t="s">
        <v>36</v>
      </c>
      <c r="B36" s="19">
        <v>0.92</v>
      </c>
    </row>
    <row r="37" spans="1:2" x14ac:dyDescent="0.2">
      <c r="A37" s="2" t="s">
        <v>37</v>
      </c>
      <c r="B37" s="19">
        <v>3.64</v>
      </c>
    </row>
    <row r="38" spans="1:2" x14ac:dyDescent="0.2">
      <c r="A38" s="2" t="s">
        <v>38</v>
      </c>
      <c r="B38" s="19">
        <v>0.88</v>
      </c>
    </row>
    <row r="39" spans="1:2" x14ac:dyDescent="0.2">
      <c r="A39" s="2" t="s">
        <v>39</v>
      </c>
      <c r="B39" s="19">
        <v>0.87</v>
      </c>
    </row>
    <row r="40" spans="1:2" x14ac:dyDescent="0.2">
      <c r="A40" s="2" t="s">
        <v>40</v>
      </c>
      <c r="B40" s="19">
        <v>-2.59</v>
      </c>
    </row>
    <row r="41" spans="1:2" x14ac:dyDescent="0.2">
      <c r="A41" s="2" t="s">
        <v>41</v>
      </c>
      <c r="B41" s="19">
        <v>-0.88</v>
      </c>
    </row>
    <row r="42" spans="1:2" x14ac:dyDescent="0.2">
      <c r="A42" s="2" t="s">
        <v>42</v>
      </c>
      <c r="B42" s="19">
        <v>-0.89</v>
      </c>
    </row>
    <row r="43" spans="1:2" x14ac:dyDescent="0.2">
      <c r="A43" s="2" t="s">
        <v>43</v>
      </c>
      <c r="B43" s="19">
        <v>-1.8</v>
      </c>
    </row>
    <row r="44" spans="1:2" x14ac:dyDescent="0.2">
      <c r="A44" s="2" t="s">
        <v>44</v>
      </c>
      <c r="B44" s="19">
        <v>0</v>
      </c>
    </row>
    <row r="45" spans="1:2" x14ac:dyDescent="0.2">
      <c r="A45" s="2" t="s">
        <v>45</v>
      </c>
      <c r="B45" s="19">
        <v>0.92</v>
      </c>
    </row>
    <row r="46" spans="1:2" x14ac:dyDescent="0.2">
      <c r="A46" s="2" t="s">
        <v>46</v>
      </c>
      <c r="B46" s="19">
        <v>0</v>
      </c>
    </row>
    <row r="47" spans="1:2" x14ac:dyDescent="0.2">
      <c r="A47" s="2" t="s">
        <v>47</v>
      </c>
      <c r="B47" s="19">
        <v>0.91</v>
      </c>
    </row>
    <row r="48" spans="1:2" x14ac:dyDescent="0.2">
      <c r="A48" s="2" t="s">
        <v>48</v>
      </c>
      <c r="B48" s="19">
        <v>1.8</v>
      </c>
    </row>
    <row r="49" spans="1:2" x14ac:dyDescent="0.2">
      <c r="A49" s="2" t="s">
        <v>49</v>
      </c>
      <c r="B49" s="19">
        <v>2.65</v>
      </c>
    </row>
    <row r="50" spans="1:2" x14ac:dyDescent="0.2">
      <c r="A50" s="2" t="s">
        <v>50</v>
      </c>
      <c r="B50" s="19">
        <v>2.59</v>
      </c>
    </row>
    <row r="51" spans="1:2" x14ac:dyDescent="0.2">
      <c r="A51" s="2" t="s">
        <v>51</v>
      </c>
      <c r="B51" s="19">
        <v>1.68</v>
      </c>
    </row>
    <row r="52" spans="1:2" x14ac:dyDescent="0.2">
      <c r="A52" s="2" t="s">
        <v>52</v>
      </c>
      <c r="B52" s="19">
        <v>-0.83</v>
      </c>
    </row>
    <row r="53" spans="1:2" x14ac:dyDescent="0.2">
      <c r="A53" s="2" t="s">
        <v>53</v>
      </c>
      <c r="B53" s="19">
        <v>-0.83</v>
      </c>
    </row>
    <row r="54" spans="1:2" x14ac:dyDescent="0.2">
      <c r="A54" s="2" t="s">
        <v>54</v>
      </c>
      <c r="B54" s="19">
        <v>0.84</v>
      </c>
    </row>
    <row r="55" spans="1:2" x14ac:dyDescent="0.2">
      <c r="A55" s="2" t="s">
        <v>55</v>
      </c>
      <c r="B55" s="19">
        <v>-0.83</v>
      </c>
    </row>
    <row r="56" spans="1:2" x14ac:dyDescent="0.2">
      <c r="A56" s="2" t="s">
        <v>56</v>
      </c>
      <c r="B56" s="19">
        <v>0.84</v>
      </c>
    </row>
    <row r="57" spans="1:2" x14ac:dyDescent="0.2">
      <c r="A57" s="2" t="s">
        <v>57</v>
      </c>
      <c r="B57" s="19">
        <v>0</v>
      </c>
    </row>
    <row r="58" spans="1:2" x14ac:dyDescent="0.2">
      <c r="A58" s="2" t="s">
        <v>58</v>
      </c>
      <c r="B58" s="19">
        <v>0</v>
      </c>
    </row>
    <row r="59" spans="1:2" x14ac:dyDescent="0.2">
      <c r="A59" s="2" t="s">
        <v>59</v>
      </c>
      <c r="B59" s="19">
        <v>0.83</v>
      </c>
    </row>
    <row r="60" spans="1:2" x14ac:dyDescent="0.2">
      <c r="A60" s="2" t="s">
        <v>60</v>
      </c>
      <c r="B60" s="19">
        <v>0.83</v>
      </c>
    </row>
    <row r="61" spans="1:2" x14ac:dyDescent="0.2">
      <c r="A61" s="2" t="s">
        <v>61</v>
      </c>
      <c r="B61" s="19">
        <v>1.64</v>
      </c>
    </row>
    <row r="62" spans="1:2" x14ac:dyDescent="0.2">
      <c r="A62" s="2" t="s">
        <v>62</v>
      </c>
      <c r="B62" s="19">
        <v>0.81</v>
      </c>
    </row>
    <row r="63" spans="1:2" x14ac:dyDescent="0.2">
      <c r="A63" s="2" t="s">
        <v>63</v>
      </c>
      <c r="B63" s="19">
        <v>0</v>
      </c>
    </row>
    <row r="64" spans="1:2" x14ac:dyDescent="0.2">
      <c r="A64" s="2" t="s">
        <v>64</v>
      </c>
      <c r="B64" s="19">
        <v>0</v>
      </c>
    </row>
    <row r="65" spans="1:2" x14ac:dyDescent="0.2">
      <c r="A65" s="2" t="s">
        <v>65</v>
      </c>
      <c r="B65" s="19">
        <v>0</v>
      </c>
    </row>
    <row r="66" spans="1:2" x14ac:dyDescent="0.2">
      <c r="A66" s="2" t="s">
        <v>66</v>
      </c>
      <c r="B66" s="19">
        <v>0</v>
      </c>
    </row>
    <row r="67" spans="1:2" x14ac:dyDescent="0.2">
      <c r="A67" s="2" t="s">
        <v>67</v>
      </c>
      <c r="B67" s="19">
        <v>0.8</v>
      </c>
    </row>
    <row r="68" spans="1:2" x14ac:dyDescent="0.2">
      <c r="A68" s="2" t="s">
        <v>68</v>
      </c>
      <c r="B68" s="19">
        <v>0.79</v>
      </c>
    </row>
    <row r="69" spans="1:2" x14ac:dyDescent="0.2">
      <c r="A69" s="2" t="s">
        <v>69</v>
      </c>
      <c r="B69" s="19">
        <v>0.79</v>
      </c>
    </row>
    <row r="70" spans="1:2" x14ac:dyDescent="0.2">
      <c r="A70" s="2" t="s">
        <v>70</v>
      </c>
      <c r="B70" s="19">
        <v>2.34</v>
      </c>
    </row>
    <row r="71" spans="1:2" x14ac:dyDescent="0.2">
      <c r="A71" s="2" t="s">
        <v>71</v>
      </c>
      <c r="B71" s="19">
        <v>4.58</v>
      </c>
    </row>
    <row r="72" spans="1:2" x14ac:dyDescent="0.2">
      <c r="A72" s="2" t="s">
        <v>72</v>
      </c>
      <c r="B72" s="19">
        <v>0</v>
      </c>
    </row>
    <row r="73" spans="1:2" x14ac:dyDescent="0.2">
      <c r="A73" s="2" t="s">
        <v>73</v>
      </c>
      <c r="B73" s="19">
        <v>1.46</v>
      </c>
    </row>
    <row r="74" spans="1:2" x14ac:dyDescent="0.2">
      <c r="A74" s="2" t="s">
        <v>74</v>
      </c>
      <c r="B74" s="19">
        <v>0</v>
      </c>
    </row>
    <row r="75" spans="1:2" x14ac:dyDescent="0.2">
      <c r="A75" s="2" t="s">
        <v>75</v>
      </c>
      <c r="B75" s="19">
        <v>-2.16</v>
      </c>
    </row>
    <row r="76" spans="1:2" x14ac:dyDescent="0.2">
      <c r="A76" s="2" t="s">
        <v>76</v>
      </c>
      <c r="B76" s="19">
        <v>-0.74</v>
      </c>
    </row>
    <row r="77" spans="1:2" x14ac:dyDescent="0.2">
      <c r="A77" s="2" t="s">
        <v>77</v>
      </c>
      <c r="B77" s="19">
        <v>0.74</v>
      </c>
    </row>
    <row r="78" spans="1:2" x14ac:dyDescent="0.2">
      <c r="A78" s="2" t="s">
        <v>78</v>
      </c>
      <c r="B78" s="19">
        <v>0.74</v>
      </c>
    </row>
    <row r="79" spans="1:2" x14ac:dyDescent="0.2">
      <c r="A79" s="2" t="s">
        <v>79</v>
      </c>
      <c r="B79" s="19">
        <v>2.19</v>
      </c>
    </row>
    <row r="80" spans="1:2" x14ac:dyDescent="0.2">
      <c r="A80" s="2" t="s">
        <v>80</v>
      </c>
      <c r="B80" s="19">
        <v>2.86</v>
      </c>
    </row>
    <row r="81" spans="1:2" x14ac:dyDescent="0.2">
      <c r="A81" s="2" t="s">
        <v>81</v>
      </c>
      <c r="B81" s="19">
        <v>2.78</v>
      </c>
    </row>
    <row r="82" spans="1:2" x14ac:dyDescent="0.2">
      <c r="A82" s="2" t="s">
        <v>82</v>
      </c>
      <c r="B82" s="19">
        <v>2.7</v>
      </c>
    </row>
    <row r="83" spans="1:2" x14ac:dyDescent="0.2">
      <c r="A83" s="2" t="s">
        <v>83</v>
      </c>
      <c r="B83" s="19">
        <v>0</v>
      </c>
    </row>
    <row r="84" spans="1:2" x14ac:dyDescent="0.2">
      <c r="A84" s="2" t="s">
        <v>84</v>
      </c>
      <c r="B84" s="19">
        <v>1.32</v>
      </c>
    </row>
    <row r="85" spans="1:2" x14ac:dyDescent="0.2">
      <c r="A85" s="2" t="s">
        <v>85</v>
      </c>
      <c r="B85" s="19">
        <v>3.25</v>
      </c>
    </row>
    <row r="86" spans="1:2" x14ac:dyDescent="0.2">
      <c r="A86" s="2" t="s">
        <v>86</v>
      </c>
      <c r="B86" s="19">
        <v>1.26</v>
      </c>
    </row>
    <row r="87" spans="1:2" x14ac:dyDescent="0.2">
      <c r="A87" s="2" t="s">
        <v>87</v>
      </c>
      <c r="B87" s="19">
        <v>2.48</v>
      </c>
    </row>
    <row r="88" spans="1:2" x14ac:dyDescent="0.2">
      <c r="A88" s="2" t="s">
        <v>88</v>
      </c>
      <c r="B88" s="19">
        <v>1.21</v>
      </c>
    </row>
    <row r="89" spans="1:2" x14ac:dyDescent="0.2">
      <c r="A89" s="2" t="s">
        <v>89</v>
      </c>
      <c r="B89" s="19">
        <v>1.2</v>
      </c>
    </row>
    <row r="90" spans="1:2" x14ac:dyDescent="0.2">
      <c r="A90" s="2" t="s">
        <v>90</v>
      </c>
      <c r="B90" s="19">
        <v>-1.18</v>
      </c>
    </row>
    <row r="91" spans="1:2" x14ac:dyDescent="0.2">
      <c r="A91" s="2" t="s">
        <v>91</v>
      </c>
      <c r="B91" s="19">
        <v>-2.4</v>
      </c>
    </row>
    <row r="92" spans="1:2" x14ac:dyDescent="0.2">
      <c r="A92" s="2" t="s">
        <v>92</v>
      </c>
      <c r="B92" s="19">
        <v>1.23</v>
      </c>
    </row>
    <row r="93" spans="1:2" x14ac:dyDescent="0.2">
      <c r="A93" s="2" t="s">
        <v>93</v>
      </c>
      <c r="B93" s="19">
        <v>0.61</v>
      </c>
    </row>
    <row r="94" spans="1:2" x14ac:dyDescent="0.2">
      <c r="A94" s="2" t="s">
        <v>94</v>
      </c>
      <c r="B94" s="19">
        <v>1.81</v>
      </c>
    </row>
    <row r="95" spans="1:2" x14ac:dyDescent="0.2">
      <c r="A95" s="2" t="s">
        <v>95</v>
      </c>
      <c r="B95" s="19">
        <v>0.59</v>
      </c>
    </row>
    <row r="96" spans="1:2" x14ac:dyDescent="0.2">
      <c r="A96" s="2" t="s">
        <v>96</v>
      </c>
      <c r="B96" s="19">
        <v>1.76</v>
      </c>
    </row>
    <row r="97" spans="1:2" x14ac:dyDescent="0.2">
      <c r="A97" s="2" t="s">
        <v>97</v>
      </c>
      <c r="B97" s="19">
        <v>3.47</v>
      </c>
    </row>
    <row r="98" spans="1:2" x14ac:dyDescent="0.2">
      <c r="A98" s="2" t="s">
        <v>98</v>
      </c>
      <c r="B98" s="19">
        <v>1.68</v>
      </c>
    </row>
    <row r="99" spans="1:2" x14ac:dyDescent="0.2">
      <c r="A99" s="2" t="s">
        <v>99</v>
      </c>
      <c r="B99" s="19">
        <v>0</v>
      </c>
    </row>
    <row r="100" spans="1:2" x14ac:dyDescent="0.2">
      <c r="A100" s="2" t="s">
        <v>100</v>
      </c>
      <c r="B100" s="19">
        <v>0</v>
      </c>
    </row>
    <row r="101" spans="1:2" x14ac:dyDescent="0.2">
      <c r="A101" s="2" t="s">
        <v>101</v>
      </c>
      <c r="B101" s="19">
        <v>0.55000000000000004</v>
      </c>
    </row>
    <row r="102" spans="1:2" x14ac:dyDescent="0.2">
      <c r="A102" s="2" t="s">
        <v>102</v>
      </c>
      <c r="B102" s="19">
        <v>0.55000000000000004</v>
      </c>
    </row>
    <row r="103" spans="1:2" x14ac:dyDescent="0.2">
      <c r="A103" s="2" t="s">
        <v>103</v>
      </c>
      <c r="B103" s="19">
        <v>1.63</v>
      </c>
    </row>
    <row r="104" spans="1:2" x14ac:dyDescent="0.2">
      <c r="A104" s="2" t="s">
        <v>104</v>
      </c>
      <c r="B104" s="19">
        <v>0.53</v>
      </c>
    </row>
    <row r="105" spans="1:2" x14ac:dyDescent="0.2">
      <c r="A105" s="2" t="s">
        <v>105</v>
      </c>
      <c r="B105" s="19">
        <v>-0.53</v>
      </c>
    </row>
    <row r="106" spans="1:2" x14ac:dyDescent="0.2">
      <c r="A106" s="2" t="s">
        <v>106</v>
      </c>
      <c r="B106" s="19">
        <v>0.53</v>
      </c>
    </row>
    <row r="107" spans="1:2" x14ac:dyDescent="0.2">
      <c r="A107" s="2" t="s">
        <v>107</v>
      </c>
      <c r="B107" s="19">
        <v>2.66</v>
      </c>
    </row>
    <row r="108" spans="1:2" x14ac:dyDescent="0.2">
      <c r="A108" s="2" t="s">
        <v>108</v>
      </c>
      <c r="B108" s="19">
        <v>1.04</v>
      </c>
    </row>
    <row r="109" spans="1:2" x14ac:dyDescent="0.2">
      <c r="A109" s="2" t="s">
        <v>109</v>
      </c>
      <c r="B109" s="19">
        <v>1.03</v>
      </c>
    </row>
    <row r="110" spans="1:2" x14ac:dyDescent="0.2">
      <c r="A110" s="2" t="s">
        <v>110</v>
      </c>
      <c r="B110" s="19">
        <v>1.02</v>
      </c>
    </row>
    <row r="111" spans="1:2" x14ac:dyDescent="0.2">
      <c r="A111" s="2" t="s">
        <v>111</v>
      </c>
      <c r="B111" s="19">
        <v>2.5099999999999998</v>
      </c>
    </row>
    <row r="112" spans="1:2" x14ac:dyDescent="0.2">
      <c r="A112" s="2" t="s">
        <v>112</v>
      </c>
      <c r="B112" s="19">
        <v>0</v>
      </c>
    </row>
    <row r="113" spans="1:2" x14ac:dyDescent="0.2">
      <c r="A113" s="2" t="s">
        <v>113</v>
      </c>
      <c r="B113" s="19">
        <v>-0.49</v>
      </c>
    </row>
    <row r="114" spans="1:2" x14ac:dyDescent="0.2">
      <c r="A114" s="2" t="s">
        <v>114</v>
      </c>
      <c r="B114" s="19">
        <v>1.48</v>
      </c>
    </row>
    <row r="115" spans="1:2" x14ac:dyDescent="0.2">
      <c r="A115" s="2" t="s">
        <v>115</v>
      </c>
      <c r="B115" s="19">
        <v>1.94</v>
      </c>
    </row>
    <row r="116" spans="1:2" x14ac:dyDescent="0.2">
      <c r="A116" s="2" t="s">
        <v>116</v>
      </c>
      <c r="B116" s="19">
        <v>3.81</v>
      </c>
    </row>
    <row r="117" spans="1:2" x14ac:dyDescent="0.2">
      <c r="A117" s="2" t="s">
        <v>117</v>
      </c>
      <c r="B117" s="19">
        <v>1.38</v>
      </c>
    </row>
    <row r="118" spans="1:2" x14ac:dyDescent="0.2">
      <c r="A118" s="2" t="s">
        <v>118</v>
      </c>
      <c r="B118" s="19">
        <v>2.71</v>
      </c>
    </row>
    <row r="119" spans="1:2" x14ac:dyDescent="0.2">
      <c r="A119" s="2" t="s">
        <v>119</v>
      </c>
      <c r="B119" s="19">
        <v>1.32</v>
      </c>
    </row>
    <row r="120" spans="1:2" x14ac:dyDescent="0.2">
      <c r="A120" s="2" t="s">
        <v>120</v>
      </c>
      <c r="B120" s="19">
        <v>2.17</v>
      </c>
    </row>
    <row r="121" spans="1:2" x14ac:dyDescent="0.2">
      <c r="A121" s="2" t="s">
        <v>121</v>
      </c>
      <c r="B121" s="19">
        <v>2.93</v>
      </c>
    </row>
    <row r="122" spans="1:2" x14ac:dyDescent="0.2">
      <c r="A122" s="2" t="s">
        <v>122</v>
      </c>
      <c r="B122" s="19">
        <v>2.48</v>
      </c>
    </row>
    <row r="123" spans="1:2" x14ac:dyDescent="0.2">
      <c r="A123" s="2" t="s">
        <v>123</v>
      </c>
      <c r="B123" s="19">
        <v>1.93</v>
      </c>
    </row>
    <row r="124" spans="1:2" x14ac:dyDescent="0.2">
      <c r="A124" s="2" t="s">
        <v>124</v>
      </c>
      <c r="B124" s="19">
        <v>3.79</v>
      </c>
    </row>
    <row r="125" spans="1:2" x14ac:dyDescent="0.2">
      <c r="A125" s="2" t="s">
        <v>125</v>
      </c>
      <c r="B125" s="19">
        <v>1.83</v>
      </c>
    </row>
    <row r="126" spans="1:2" x14ac:dyDescent="0.2">
      <c r="A126" s="2" t="s">
        <v>126</v>
      </c>
      <c r="B126" s="19">
        <v>1.35</v>
      </c>
    </row>
    <row r="127" spans="1:2" x14ac:dyDescent="0.2">
      <c r="A127" s="2" t="s">
        <v>127</v>
      </c>
      <c r="B127" s="19">
        <v>1.33</v>
      </c>
    </row>
    <row r="128" spans="1:2" x14ac:dyDescent="0.2">
      <c r="A128" s="2" t="s">
        <v>128</v>
      </c>
      <c r="B128" s="19">
        <v>0.87</v>
      </c>
    </row>
    <row r="129" spans="1:2" x14ac:dyDescent="0.2">
      <c r="A129" s="2" t="s">
        <v>129</v>
      </c>
      <c r="B129" s="19">
        <v>2.6</v>
      </c>
    </row>
    <row r="130" spans="1:2" x14ac:dyDescent="0.2">
      <c r="A130" s="2" t="s">
        <v>130</v>
      </c>
      <c r="B130" s="19">
        <v>0.42</v>
      </c>
    </row>
    <row r="131" spans="1:2" x14ac:dyDescent="0.2">
      <c r="A131" s="2" t="s">
        <v>131</v>
      </c>
      <c r="B131" s="19">
        <v>2.1</v>
      </c>
    </row>
    <row r="132" spans="1:2" x14ac:dyDescent="0.2">
      <c r="A132" s="2" t="s">
        <v>132</v>
      </c>
      <c r="B132" s="19">
        <v>1.65</v>
      </c>
    </row>
    <row r="133" spans="1:2" x14ac:dyDescent="0.2">
      <c r="A133" s="2" t="s">
        <v>133</v>
      </c>
      <c r="B133" s="19">
        <v>1.62</v>
      </c>
    </row>
    <row r="134" spans="1:2" x14ac:dyDescent="0.2">
      <c r="A134" s="2" t="s">
        <v>134</v>
      </c>
      <c r="B134" s="19">
        <v>0</v>
      </c>
    </row>
    <row r="135" spans="1:2" x14ac:dyDescent="0.2">
      <c r="A135" s="2" t="s">
        <v>135</v>
      </c>
      <c r="B135" s="19">
        <v>0.8</v>
      </c>
    </row>
    <row r="136" spans="1:2" x14ac:dyDescent="0.2">
      <c r="A136" s="2" t="s">
        <v>136</v>
      </c>
      <c r="B136" s="19">
        <v>1.98</v>
      </c>
    </row>
    <row r="137" spans="1:2" x14ac:dyDescent="0.2">
      <c r="A137" s="2" t="s">
        <v>137</v>
      </c>
      <c r="B137" s="19">
        <v>0</v>
      </c>
    </row>
    <row r="138" spans="1:2" x14ac:dyDescent="0.2">
      <c r="A138" s="2" t="s">
        <v>138</v>
      </c>
      <c r="B138" s="19">
        <v>0</v>
      </c>
    </row>
    <row r="139" spans="1:2" x14ac:dyDescent="0.2">
      <c r="A139" s="2" t="s">
        <v>139</v>
      </c>
      <c r="B139" s="19">
        <v>1.1599999999999999</v>
      </c>
    </row>
    <row r="140" spans="1:2" x14ac:dyDescent="0.2">
      <c r="A140" s="2" t="s">
        <v>140</v>
      </c>
      <c r="B140" s="19">
        <v>1.92</v>
      </c>
    </row>
    <row r="141" spans="1:2" x14ac:dyDescent="0.2">
      <c r="A141" s="2" t="s">
        <v>141</v>
      </c>
      <c r="B141" s="19">
        <v>2.2599999999999998</v>
      </c>
    </row>
    <row r="142" spans="1:2" x14ac:dyDescent="0.2">
      <c r="A142" s="2" t="s">
        <v>142</v>
      </c>
      <c r="B142" s="19">
        <v>1.1000000000000001</v>
      </c>
    </row>
    <row r="143" spans="1:2" x14ac:dyDescent="0.2">
      <c r="A143" s="2" t="s">
        <v>143</v>
      </c>
      <c r="B143" s="19">
        <v>0.36</v>
      </c>
    </row>
    <row r="144" spans="1:2" x14ac:dyDescent="0.2">
      <c r="A144" s="2" t="s">
        <v>144</v>
      </c>
      <c r="B144" s="19">
        <v>0.36</v>
      </c>
    </row>
    <row r="145" spans="1:2" x14ac:dyDescent="0.2">
      <c r="A145" s="2" t="s">
        <v>145</v>
      </c>
      <c r="B145" s="19">
        <v>1.81</v>
      </c>
    </row>
    <row r="146" spans="1:2" x14ac:dyDescent="0.2">
      <c r="A146" s="2" t="s">
        <v>146</v>
      </c>
      <c r="B146" s="19">
        <v>2.84</v>
      </c>
    </row>
    <row r="147" spans="1:2" x14ac:dyDescent="0.2">
      <c r="A147" s="2" t="s">
        <v>147</v>
      </c>
      <c r="B147" s="19">
        <v>1.38</v>
      </c>
    </row>
    <row r="148" spans="1:2" x14ac:dyDescent="0.2">
      <c r="A148" s="2" t="s">
        <v>148</v>
      </c>
      <c r="B148" s="19">
        <v>0.34</v>
      </c>
    </row>
    <row r="149" spans="1:2" x14ac:dyDescent="0.2">
      <c r="A149" s="2" t="s">
        <v>149</v>
      </c>
      <c r="B149" s="19">
        <v>3.05</v>
      </c>
    </row>
    <row r="150" spans="1:2" x14ac:dyDescent="0.2">
      <c r="A150" s="2" t="s">
        <v>150</v>
      </c>
      <c r="B150" s="19">
        <v>2.96</v>
      </c>
    </row>
    <row r="151" spans="1:2" x14ac:dyDescent="0.2">
      <c r="A151" s="2" t="s">
        <v>151</v>
      </c>
      <c r="B151" s="19">
        <v>1.6</v>
      </c>
    </row>
    <row r="152" spans="1:2" x14ac:dyDescent="0.2">
      <c r="A152" s="2" t="s">
        <v>152</v>
      </c>
      <c r="B152" s="19">
        <v>1.89</v>
      </c>
    </row>
    <row r="153" spans="1:2" x14ac:dyDescent="0.2">
      <c r="A153" s="2" t="s">
        <v>153</v>
      </c>
      <c r="B153" s="19">
        <v>3.4</v>
      </c>
    </row>
    <row r="154" spans="1:2" x14ac:dyDescent="0.2">
      <c r="A154" s="2" t="s">
        <v>154</v>
      </c>
      <c r="B154" s="19">
        <v>1.49</v>
      </c>
    </row>
    <row r="155" spans="1:2" x14ac:dyDescent="0.2">
      <c r="A155" s="2" t="s">
        <v>155</v>
      </c>
      <c r="B155" s="19">
        <v>1.18</v>
      </c>
    </row>
    <row r="156" spans="1:2" x14ac:dyDescent="0.2">
      <c r="A156" s="2" t="s">
        <v>156</v>
      </c>
      <c r="B156" s="19">
        <v>0.28999999999999998</v>
      </c>
    </row>
    <row r="157" spans="1:2" x14ac:dyDescent="0.2">
      <c r="A157" s="2" t="s">
        <v>157</v>
      </c>
      <c r="B157" s="19">
        <v>4.3499999999999996</v>
      </c>
    </row>
    <row r="158" spans="1:2" x14ac:dyDescent="0.2">
      <c r="A158" s="2" t="s">
        <v>158</v>
      </c>
      <c r="B158" s="19">
        <v>0</v>
      </c>
    </row>
    <row r="159" spans="1:2" x14ac:dyDescent="0.2">
      <c r="A159" s="2" t="s">
        <v>159</v>
      </c>
      <c r="B159" s="19">
        <v>-0.28000000000000003</v>
      </c>
    </row>
    <row r="160" spans="1:2" x14ac:dyDescent="0.2">
      <c r="A160" s="2" t="s">
        <v>160</v>
      </c>
      <c r="B160" s="19">
        <v>-0.28000000000000003</v>
      </c>
    </row>
    <row r="161" spans="1:2" x14ac:dyDescent="0.2">
      <c r="A161" s="2" t="s">
        <v>161</v>
      </c>
      <c r="B161" s="19">
        <v>-0.28000000000000003</v>
      </c>
    </row>
    <row r="162" spans="1:2" x14ac:dyDescent="0.2">
      <c r="A162" s="2" t="s">
        <v>162</v>
      </c>
      <c r="B162" s="19">
        <v>0</v>
      </c>
    </row>
    <row r="163" spans="1:2" x14ac:dyDescent="0.2">
      <c r="A163" s="2" t="s">
        <v>163</v>
      </c>
      <c r="B163" s="19">
        <v>0.28000000000000003</v>
      </c>
    </row>
    <row r="164" spans="1:2" x14ac:dyDescent="0.2">
      <c r="A164" s="2" t="s">
        <v>164</v>
      </c>
      <c r="B164" s="19">
        <v>0.56000000000000005</v>
      </c>
    </row>
    <row r="165" spans="1:2" x14ac:dyDescent="0.2">
      <c r="A165" s="2" t="s">
        <v>165</v>
      </c>
      <c r="B165" s="19">
        <v>-0.28000000000000003</v>
      </c>
    </row>
    <row r="166" spans="1:2" x14ac:dyDescent="0.2">
      <c r="A166" s="2" t="s">
        <v>166</v>
      </c>
      <c r="B166" s="19">
        <v>0.28000000000000003</v>
      </c>
    </row>
    <row r="167" spans="1:2" x14ac:dyDescent="0.2">
      <c r="A167" s="2" t="s">
        <v>167</v>
      </c>
      <c r="B167" s="19">
        <v>1.1100000000000001</v>
      </c>
    </row>
    <row r="168" spans="1:2" x14ac:dyDescent="0.2">
      <c r="A168" s="2" t="s">
        <v>168</v>
      </c>
      <c r="B168" s="19">
        <v>1.37</v>
      </c>
    </row>
    <row r="169" spans="1:2" x14ac:dyDescent="0.2">
      <c r="A169" s="2" t="s">
        <v>169</v>
      </c>
      <c r="B169" s="19">
        <v>1.36</v>
      </c>
    </row>
    <row r="170" spans="1:2" x14ac:dyDescent="0.2">
      <c r="A170" s="2" t="s">
        <v>170</v>
      </c>
      <c r="B170" s="19">
        <v>0.53</v>
      </c>
    </row>
    <row r="171" spans="1:2" x14ac:dyDescent="0.2">
      <c r="A171" s="2" t="s">
        <v>171</v>
      </c>
      <c r="B171" s="19">
        <v>1.33</v>
      </c>
    </row>
    <row r="172" spans="1:2" x14ac:dyDescent="0.2">
      <c r="A172" s="2" t="s">
        <v>172</v>
      </c>
      <c r="B172" s="19">
        <v>1.31</v>
      </c>
    </row>
    <row r="173" spans="1:2" x14ac:dyDescent="0.2">
      <c r="A173" s="2" t="s">
        <v>173</v>
      </c>
      <c r="B173" s="19">
        <v>1.81</v>
      </c>
    </row>
    <row r="174" spans="1:2" x14ac:dyDescent="0.2">
      <c r="A174" s="2" t="s">
        <v>174</v>
      </c>
      <c r="B174" s="19">
        <v>0.25</v>
      </c>
    </row>
    <row r="175" spans="1:2" x14ac:dyDescent="0.2">
      <c r="A175" s="2" t="s">
        <v>175</v>
      </c>
      <c r="B175" s="19">
        <v>1.78</v>
      </c>
    </row>
    <row r="176" spans="1:2" x14ac:dyDescent="0.2">
      <c r="A176" s="2" t="s">
        <v>176</v>
      </c>
      <c r="B176" s="19">
        <v>2</v>
      </c>
    </row>
    <row r="177" spans="1:2" x14ac:dyDescent="0.2">
      <c r="A177" s="2" t="s">
        <v>177</v>
      </c>
      <c r="B177" s="19">
        <v>2.93</v>
      </c>
    </row>
    <row r="178" spans="1:2" x14ac:dyDescent="0.2">
      <c r="A178" s="2" t="s">
        <v>178</v>
      </c>
      <c r="B178" s="19">
        <v>3.56</v>
      </c>
    </row>
    <row r="179" spans="1:2" x14ac:dyDescent="0.2">
      <c r="A179" s="2" t="s">
        <v>179</v>
      </c>
      <c r="B179" s="19">
        <v>4.13</v>
      </c>
    </row>
    <row r="180" spans="1:2" x14ac:dyDescent="0.2">
      <c r="A180" s="2" t="s">
        <v>180</v>
      </c>
      <c r="B180" s="19">
        <v>1.1000000000000001</v>
      </c>
    </row>
    <row r="181" spans="1:2" x14ac:dyDescent="0.2">
      <c r="A181" s="2" t="s">
        <v>181</v>
      </c>
      <c r="B181" s="19">
        <v>4.1399999999999997</v>
      </c>
    </row>
    <row r="182" spans="1:2" x14ac:dyDescent="0.2">
      <c r="A182" s="2" t="s">
        <v>182</v>
      </c>
      <c r="B182" s="19">
        <v>7.11</v>
      </c>
    </row>
    <row r="183" spans="1:2" x14ac:dyDescent="0.2">
      <c r="A183" s="2" t="s">
        <v>183</v>
      </c>
      <c r="B183" s="19">
        <v>1.56</v>
      </c>
    </row>
    <row r="184" spans="1:2" x14ac:dyDescent="0.2">
      <c r="A184" s="2" t="s">
        <v>184</v>
      </c>
      <c r="B184" s="19">
        <v>2.12</v>
      </c>
    </row>
    <row r="185" spans="1:2" x14ac:dyDescent="0.2">
      <c r="A185" s="2" t="s">
        <v>185</v>
      </c>
      <c r="B185" s="19">
        <v>1.1299999999999999</v>
      </c>
    </row>
    <row r="186" spans="1:2" x14ac:dyDescent="0.2">
      <c r="A186" s="2" t="s">
        <v>186</v>
      </c>
      <c r="B186" s="19">
        <v>1.1200000000000001</v>
      </c>
    </row>
    <row r="187" spans="1:2" x14ac:dyDescent="0.2">
      <c r="A187" s="2" t="s">
        <v>187</v>
      </c>
      <c r="B187" s="19">
        <v>2.21</v>
      </c>
    </row>
    <row r="188" spans="1:2" x14ac:dyDescent="0.2">
      <c r="A188" s="2" t="s">
        <v>188</v>
      </c>
      <c r="B188" s="19">
        <v>4.68</v>
      </c>
    </row>
    <row r="189" spans="1:2" x14ac:dyDescent="0.2">
      <c r="A189" s="2" t="s">
        <v>189</v>
      </c>
      <c r="B189" s="19">
        <v>2.58</v>
      </c>
    </row>
    <row r="190" spans="1:2" x14ac:dyDescent="0.2">
      <c r="A190" s="2" t="s">
        <v>190</v>
      </c>
      <c r="B190" s="19">
        <v>2.35</v>
      </c>
    </row>
    <row r="191" spans="1:2" x14ac:dyDescent="0.2">
      <c r="A191" s="2" t="s">
        <v>191</v>
      </c>
      <c r="B191" s="19">
        <v>3.61</v>
      </c>
    </row>
    <row r="192" spans="1:2" x14ac:dyDescent="0.2">
      <c r="A192" s="2" t="s">
        <v>192</v>
      </c>
      <c r="B192" s="19">
        <v>1.27</v>
      </c>
    </row>
    <row r="193" spans="1:2" x14ac:dyDescent="0.2">
      <c r="A193" s="2" t="s">
        <v>193</v>
      </c>
      <c r="B193" s="19">
        <v>1.56</v>
      </c>
    </row>
    <row r="194" spans="1:2" x14ac:dyDescent="0.2">
      <c r="A194" s="2" t="s">
        <v>194</v>
      </c>
      <c r="B194" s="19">
        <v>2.46</v>
      </c>
    </row>
    <row r="195" spans="1:2" x14ac:dyDescent="0.2">
      <c r="A195" s="2" t="s">
        <v>195</v>
      </c>
      <c r="B195" s="19">
        <v>1.5</v>
      </c>
    </row>
    <row r="196" spans="1:2" x14ac:dyDescent="0.2">
      <c r="A196" s="2" t="s">
        <v>196</v>
      </c>
      <c r="B196" s="19">
        <v>1.63</v>
      </c>
    </row>
    <row r="197" spans="1:2" x14ac:dyDescent="0.2">
      <c r="A197" s="2" t="s">
        <v>197</v>
      </c>
      <c r="B197" s="19">
        <v>0.15</v>
      </c>
    </row>
    <row r="198" spans="1:2" x14ac:dyDescent="0.2">
      <c r="A198" s="2" t="s">
        <v>198</v>
      </c>
      <c r="B198" s="19">
        <v>0.57999999999999996</v>
      </c>
    </row>
    <row r="199" spans="1:2" x14ac:dyDescent="0.2">
      <c r="A199" s="2" t="s">
        <v>199</v>
      </c>
      <c r="B199" s="19">
        <v>2.02</v>
      </c>
    </row>
    <row r="200" spans="1:2" x14ac:dyDescent="0.2">
      <c r="A200" s="2" t="s">
        <v>200</v>
      </c>
      <c r="B200" s="19">
        <v>2.97</v>
      </c>
    </row>
    <row r="201" spans="1:2" x14ac:dyDescent="0.2">
      <c r="A201" s="2" t="s">
        <v>201</v>
      </c>
      <c r="B201" s="19">
        <v>3.99</v>
      </c>
    </row>
    <row r="202" spans="1:2" x14ac:dyDescent="0.2">
      <c r="A202" s="2" t="s">
        <v>202</v>
      </c>
      <c r="B202" s="19">
        <v>5.03</v>
      </c>
    </row>
    <row r="203" spans="1:2" x14ac:dyDescent="0.2">
      <c r="A203" s="2" t="s">
        <v>203</v>
      </c>
      <c r="B203" s="19">
        <v>3.02</v>
      </c>
    </row>
    <row r="204" spans="1:2" x14ac:dyDescent="0.2">
      <c r="A204" s="2" t="s">
        <v>204</v>
      </c>
      <c r="B204" s="19">
        <v>2.08</v>
      </c>
    </row>
    <row r="205" spans="1:2" x14ac:dyDescent="0.2">
      <c r="A205" s="2" t="s">
        <v>205</v>
      </c>
      <c r="B205" s="19">
        <v>1.92</v>
      </c>
    </row>
    <row r="206" spans="1:2" x14ac:dyDescent="0.2">
      <c r="A206" s="2" t="s">
        <v>206</v>
      </c>
      <c r="B206" s="19">
        <v>0.35</v>
      </c>
    </row>
    <row r="207" spans="1:2" x14ac:dyDescent="0.2">
      <c r="A207" s="2" t="s">
        <v>207</v>
      </c>
      <c r="B207" s="19">
        <v>2.11</v>
      </c>
    </row>
    <row r="208" spans="1:2" x14ac:dyDescent="0.2">
      <c r="A208" s="2" t="s">
        <v>208</v>
      </c>
      <c r="B208" s="19">
        <v>4.93</v>
      </c>
    </row>
    <row r="209" spans="1:2" x14ac:dyDescent="0.2">
      <c r="A209" s="2" t="s">
        <v>209</v>
      </c>
      <c r="B209" s="19">
        <v>1.42</v>
      </c>
    </row>
    <row r="210" spans="1:2" x14ac:dyDescent="0.2">
      <c r="A210" s="2" t="s">
        <v>210</v>
      </c>
      <c r="B210" s="19">
        <v>1.51</v>
      </c>
    </row>
    <row r="211" spans="1:2" x14ac:dyDescent="0.2">
      <c r="A211" s="2" t="s">
        <v>211</v>
      </c>
      <c r="B211" s="19">
        <v>1.49</v>
      </c>
    </row>
    <row r="212" spans="1:2" x14ac:dyDescent="0.2">
      <c r="A212" s="2" t="s">
        <v>212</v>
      </c>
      <c r="B212" s="19">
        <v>5.23</v>
      </c>
    </row>
    <row r="213" spans="1:2" x14ac:dyDescent="0.2">
      <c r="A213" s="2" t="s">
        <v>213</v>
      </c>
      <c r="B213" s="19">
        <v>4.17</v>
      </c>
    </row>
    <row r="214" spans="1:2" x14ac:dyDescent="0.2">
      <c r="A214" s="2" t="s">
        <v>214</v>
      </c>
      <c r="B214" s="19">
        <v>8.3000000000000007</v>
      </c>
    </row>
    <row r="215" spans="1:2" x14ac:dyDescent="0.2">
      <c r="A215" s="2" t="s">
        <v>215</v>
      </c>
      <c r="B215" s="19">
        <v>4.8499999999999996</v>
      </c>
    </row>
    <row r="216" spans="1:2" x14ac:dyDescent="0.2">
      <c r="A216" s="2" t="s">
        <v>216</v>
      </c>
      <c r="B216" s="19">
        <v>3.7</v>
      </c>
    </row>
    <row r="217" spans="1:2" x14ac:dyDescent="0.2">
      <c r="A217" s="2" t="s">
        <v>217</v>
      </c>
      <c r="B217" s="19">
        <v>5.27</v>
      </c>
    </row>
    <row r="218" spans="1:2" x14ac:dyDescent="0.2">
      <c r="A218" s="2" t="s">
        <v>218</v>
      </c>
      <c r="B218" s="19">
        <v>1.69</v>
      </c>
    </row>
    <row r="219" spans="1:2" x14ac:dyDescent="0.2">
      <c r="A219" s="2" t="s">
        <v>219</v>
      </c>
      <c r="B219" s="19">
        <v>1.67</v>
      </c>
    </row>
    <row r="220" spans="1:2" x14ac:dyDescent="0.2">
      <c r="A220" s="2" t="s">
        <v>220</v>
      </c>
      <c r="B220" s="19">
        <v>0.82</v>
      </c>
    </row>
    <row r="221" spans="1:2" x14ac:dyDescent="0.2">
      <c r="A221" s="2" t="s">
        <v>221</v>
      </c>
      <c r="B221" s="19">
        <v>3.99</v>
      </c>
    </row>
    <row r="222" spans="1:2" x14ac:dyDescent="0.2">
      <c r="A222" s="2" t="s">
        <v>222</v>
      </c>
      <c r="B222" s="19">
        <v>3.12</v>
      </c>
    </row>
    <row r="223" spans="1:2" x14ac:dyDescent="0.2">
      <c r="A223" s="2" t="s">
        <v>223</v>
      </c>
      <c r="B223" s="19">
        <v>4.55</v>
      </c>
    </row>
    <row r="224" spans="1:2" x14ac:dyDescent="0.2">
      <c r="A224" s="2" t="s">
        <v>224</v>
      </c>
      <c r="B224" s="19">
        <v>2.83</v>
      </c>
    </row>
    <row r="225" spans="1:2" x14ac:dyDescent="0.2">
      <c r="A225" s="2" t="s">
        <v>225</v>
      </c>
      <c r="B225" s="19">
        <v>2.11</v>
      </c>
    </row>
    <row r="226" spans="1:2" x14ac:dyDescent="0.2">
      <c r="A226" s="2" t="s">
        <v>226</v>
      </c>
      <c r="B226" s="19">
        <v>2.76</v>
      </c>
    </row>
    <row r="227" spans="1:2" x14ac:dyDescent="0.2">
      <c r="A227" s="2" t="s">
        <v>227</v>
      </c>
      <c r="B227" s="19">
        <v>7.47</v>
      </c>
    </row>
    <row r="228" spans="1:2" x14ac:dyDescent="0.2">
      <c r="A228" s="2" t="s">
        <v>228</v>
      </c>
      <c r="B228" s="19">
        <v>6.27</v>
      </c>
    </row>
    <row r="229" spans="1:2" x14ac:dyDescent="0.2">
      <c r="A229" s="2" t="s">
        <v>229</v>
      </c>
      <c r="B229" s="19">
        <v>8.75</v>
      </c>
    </row>
    <row r="230" spans="1:2" x14ac:dyDescent="0.2">
      <c r="A230" s="2" t="s">
        <v>230</v>
      </c>
      <c r="B230" s="19">
        <v>5.95</v>
      </c>
    </row>
    <row r="231" spans="1:2" x14ac:dyDescent="0.2">
      <c r="A231" s="2" t="s">
        <v>231</v>
      </c>
      <c r="B231" s="19">
        <v>5.53</v>
      </c>
    </row>
    <row r="232" spans="1:2" x14ac:dyDescent="0.2">
      <c r="A232" s="2" t="s">
        <v>232</v>
      </c>
      <c r="B232" s="19">
        <v>1.56</v>
      </c>
    </row>
    <row r="233" spans="1:2" x14ac:dyDescent="0.2">
      <c r="A233" s="2" t="s">
        <v>233</v>
      </c>
      <c r="B233" s="19">
        <v>4.08</v>
      </c>
    </row>
    <row r="234" spans="1:2" x14ac:dyDescent="0.2">
      <c r="A234" s="2" t="s">
        <v>234</v>
      </c>
      <c r="B234" s="19">
        <v>5.03</v>
      </c>
    </row>
    <row r="235" spans="1:2" x14ac:dyDescent="0.2">
      <c r="A235" s="2" t="s">
        <v>235</v>
      </c>
      <c r="B235" s="19">
        <v>3.74</v>
      </c>
    </row>
    <row r="236" spans="1:2" x14ac:dyDescent="0.2">
      <c r="A236" s="2" t="s">
        <v>236</v>
      </c>
      <c r="B236" s="19">
        <v>3.67</v>
      </c>
    </row>
    <row r="237" spans="1:2" x14ac:dyDescent="0.2">
      <c r="A237" s="2" t="s">
        <v>237</v>
      </c>
      <c r="B237" s="19">
        <v>5.5</v>
      </c>
    </row>
    <row r="238" spans="1:2" x14ac:dyDescent="0.2">
      <c r="A238" s="2" t="s">
        <v>238</v>
      </c>
      <c r="B238" s="19">
        <v>6.15</v>
      </c>
    </row>
    <row r="239" spans="1:2" x14ac:dyDescent="0.2">
      <c r="A239" s="2" t="s">
        <v>239</v>
      </c>
      <c r="B239" s="19">
        <v>4.45</v>
      </c>
    </row>
    <row r="240" spans="1:2" x14ac:dyDescent="0.2">
      <c r="A240" s="2" t="s">
        <v>240</v>
      </c>
      <c r="B240" s="19">
        <v>5.94</v>
      </c>
    </row>
    <row r="241" spans="1:2" x14ac:dyDescent="0.2">
      <c r="A241" s="2" t="s">
        <v>241</v>
      </c>
      <c r="B241" s="19">
        <v>11.26</v>
      </c>
    </row>
    <row r="242" spans="1:2" x14ac:dyDescent="0.2">
      <c r="A242" s="2" t="s">
        <v>242</v>
      </c>
      <c r="B242" s="19">
        <v>6.75</v>
      </c>
    </row>
    <row r="243" spans="1:2" x14ac:dyDescent="0.2">
      <c r="A243" s="2" t="s">
        <v>243</v>
      </c>
      <c r="B243" s="19">
        <v>7.44</v>
      </c>
    </row>
    <row r="244" spans="1:2" x14ac:dyDescent="0.2">
      <c r="A244" s="2" t="s">
        <v>244</v>
      </c>
      <c r="B244" s="19">
        <v>4.3899999999999997</v>
      </c>
    </row>
    <row r="245" spans="1:2" x14ac:dyDescent="0.2">
      <c r="A245" s="2" t="s">
        <v>245</v>
      </c>
      <c r="B245" s="19">
        <v>2.7</v>
      </c>
    </row>
    <row r="246" spans="1:2" x14ac:dyDescent="0.2">
      <c r="A246" s="2" t="s">
        <v>246</v>
      </c>
      <c r="B246" s="19">
        <v>4.33</v>
      </c>
    </row>
    <row r="247" spans="1:2" x14ac:dyDescent="0.2">
      <c r="A247" s="2" t="s">
        <v>247</v>
      </c>
      <c r="B247" s="19">
        <v>6.45</v>
      </c>
    </row>
    <row r="248" spans="1:2" x14ac:dyDescent="0.2">
      <c r="A248" s="2" t="s">
        <v>248</v>
      </c>
      <c r="B248" s="19">
        <v>2.92</v>
      </c>
    </row>
    <row r="249" spans="1:2" x14ac:dyDescent="0.2">
      <c r="A249" s="2" t="s">
        <v>249</v>
      </c>
      <c r="B249" s="19">
        <v>3.75</v>
      </c>
    </row>
    <row r="250" spans="1:2" x14ac:dyDescent="0.2">
      <c r="A250" s="2" t="s">
        <v>250</v>
      </c>
      <c r="B250" s="19">
        <v>4.47</v>
      </c>
    </row>
    <row r="251" spans="1:2" x14ac:dyDescent="0.2">
      <c r="A251" s="2" t="s">
        <v>251</v>
      </c>
      <c r="B251" s="19">
        <v>6.96</v>
      </c>
    </row>
    <row r="252" spans="1:2" x14ac:dyDescent="0.2">
      <c r="A252" s="2" t="s">
        <v>252</v>
      </c>
      <c r="B252" s="19">
        <v>5.98</v>
      </c>
    </row>
    <row r="253" spans="1:2" x14ac:dyDescent="0.2">
      <c r="A253" s="2" t="s">
        <v>253</v>
      </c>
      <c r="B253" s="19">
        <v>4.82</v>
      </c>
    </row>
    <row r="254" spans="1:2" x14ac:dyDescent="0.2">
      <c r="A254" s="2" t="s">
        <v>254</v>
      </c>
      <c r="B254" s="19">
        <v>3.12</v>
      </c>
    </row>
    <row r="255" spans="1:2" x14ac:dyDescent="0.2">
      <c r="A255" s="2" t="s">
        <v>255</v>
      </c>
      <c r="B255" s="19">
        <v>6.01</v>
      </c>
    </row>
    <row r="256" spans="1:2" x14ac:dyDescent="0.2">
      <c r="A256" s="2" t="s">
        <v>256</v>
      </c>
      <c r="B256" s="19">
        <v>2.35</v>
      </c>
    </row>
    <row r="257" spans="1:2" x14ac:dyDescent="0.2">
      <c r="A257" s="2" t="s">
        <v>257</v>
      </c>
      <c r="B257" s="19">
        <v>1.71</v>
      </c>
    </row>
    <row r="258" spans="1:2" x14ac:dyDescent="0.2">
      <c r="A258" s="2" t="s">
        <v>258</v>
      </c>
      <c r="B258" s="19">
        <v>1.1499999999999999</v>
      </c>
    </row>
    <row r="259" spans="1:2" x14ac:dyDescent="0.2">
      <c r="A259" s="2" t="s">
        <v>259</v>
      </c>
      <c r="B259" s="19">
        <v>2.74</v>
      </c>
    </row>
    <row r="260" spans="1:2" x14ac:dyDescent="0.2">
      <c r="A260" s="2" t="s">
        <v>260</v>
      </c>
      <c r="B260" s="19">
        <v>1.2</v>
      </c>
    </row>
    <row r="261" spans="1:2" x14ac:dyDescent="0.2">
      <c r="A261" s="2" t="s">
        <v>261</v>
      </c>
      <c r="B261" s="19">
        <v>1.97</v>
      </c>
    </row>
    <row r="262" spans="1:2" x14ac:dyDescent="0.2">
      <c r="A262" s="2" t="s">
        <v>262</v>
      </c>
      <c r="B262" s="19">
        <v>2.02</v>
      </c>
    </row>
    <row r="263" spans="1:2" x14ac:dyDescent="0.2">
      <c r="A263" s="2" t="s">
        <v>263</v>
      </c>
      <c r="B263" s="19">
        <v>0.91</v>
      </c>
    </row>
    <row r="264" spans="1:2" x14ac:dyDescent="0.2">
      <c r="A264" s="2" t="s">
        <v>264</v>
      </c>
      <c r="B264" s="19">
        <v>1.92</v>
      </c>
    </row>
    <row r="265" spans="1:2" x14ac:dyDescent="0.2">
      <c r="A265" s="2" t="s">
        <v>265</v>
      </c>
      <c r="B265" s="19">
        <v>7.67</v>
      </c>
    </row>
    <row r="266" spans="1:2" x14ac:dyDescent="0.2">
      <c r="A266" s="2" t="s">
        <v>266</v>
      </c>
      <c r="B266" s="19">
        <v>2.89</v>
      </c>
    </row>
    <row r="267" spans="1:2" x14ac:dyDescent="0.2">
      <c r="A267" s="2" t="s">
        <v>267</v>
      </c>
      <c r="B267" s="19">
        <v>2.61</v>
      </c>
    </row>
    <row r="268" spans="1:2" x14ac:dyDescent="0.2">
      <c r="A268" s="2" t="s">
        <v>268</v>
      </c>
      <c r="B268" s="19">
        <v>4.71</v>
      </c>
    </row>
    <row r="269" spans="1:2" x14ac:dyDescent="0.2">
      <c r="A269" s="2" t="s">
        <v>269</v>
      </c>
      <c r="B269" s="19">
        <v>2.33</v>
      </c>
    </row>
    <row r="270" spans="1:2" x14ac:dyDescent="0.2">
      <c r="A270" s="2" t="s">
        <v>270</v>
      </c>
      <c r="B270" s="19">
        <v>1.85</v>
      </c>
    </row>
    <row r="271" spans="1:2" x14ac:dyDescent="0.2">
      <c r="A271" s="2" t="s">
        <v>271</v>
      </c>
      <c r="B271" s="19">
        <v>3.32</v>
      </c>
    </row>
    <row r="272" spans="1:2" x14ac:dyDescent="0.2">
      <c r="A272" s="2" t="s">
        <v>272</v>
      </c>
      <c r="B272" s="19">
        <v>2.19</v>
      </c>
    </row>
    <row r="273" spans="1:2" x14ac:dyDescent="0.2">
      <c r="A273" s="2" t="s">
        <v>273</v>
      </c>
      <c r="B273" s="19">
        <v>2.38</v>
      </c>
    </row>
    <row r="274" spans="1:2" x14ac:dyDescent="0.2">
      <c r="A274" s="2" t="s">
        <v>274</v>
      </c>
      <c r="B274" s="19">
        <v>2.0499999999999998</v>
      </c>
    </row>
    <row r="275" spans="1:2" x14ac:dyDescent="0.2">
      <c r="A275" s="2" t="s">
        <v>275</v>
      </c>
      <c r="B275" s="19">
        <v>0.97</v>
      </c>
    </row>
    <row r="276" spans="1:2" x14ac:dyDescent="0.2">
      <c r="A276" s="2" t="s">
        <v>276</v>
      </c>
      <c r="B276" s="19">
        <v>0.68</v>
      </c>
    </row>
    <row r="277" spans="1:2" x14ac:dyDescent="0.2">
      <c r="A277" s="2" t="s">
        <v>277</v>
      </c>
      <c r="B277" s="19">
        <v>4.45</v>
      </c>
    </row>
    <row r="278" spans="1:2" x14ac:dyDescent="0.2">
      <c r="A278" s="2" t="s">
        <v>278</v>
      </c>
      <c r="B278" s="19">
        <v>2.4300000000000002</v>
      </c>
    </row>
    <row r="279" spans="1:2" x14ac:dyDescent="0.2">
      <c r="A279" s="2" t="s">
        <v>279</v>
      </c>
      <c r="B279" s="19">
        <v>2.2999999999999998</v>
      </c>
    </row>
    <row r="280" spans="1:2" x14ac:dyDescent="0.2">
      <c r="A280" s="2" t="s">
        <v>280</v>
      </c>
      <c r="B280" s="19">
        <v>2.52</v>
      </c>
    </row>
    <row r="281" spans="1:2" x14ac:dyDescent="0.2">
      <c r="A281" s="2" t="s">
        <v>281</v>
      </c>
      <c r="B281" s="19">
        <v>1.33</v>
      </c>
    </row>
    <row r="282" spans="1:2" x14ac:dyDescent="0.2">
      <c r="A282" s="2" t="s">
        <v>282</v>
      </c>
      <c r="B282" s="19">
        <v>0.8</v>
      </c>
    </row>
    <row r="283" spans="1:2" x14ac:dyDescent="0.2">
      <c r="A283" s="2" t="s">
        <v>283</v>
      </c>
      <c r="B283" s="19">
        <v>2.82</v>
      </c>
    </row>
    <row r="284" spans="1:2" x14ac:dyDescent="0.2">
      <c r="A284" s="2" t="s">
        <v>284</v>
      </c>
      <c r="B284" s="19">
        <v>0.84</v>
      </c>
    </row>
    <row r="285" spans="1:2" x14ac:dyDescent="0.2">
      <c r="A285" s="2" t="s">
        <v>285</v>
      </c>
      <c r="B285" s="19">
        <v>1.51</v>
      </c>
    </row>
    <row r="286" spans="1:2" x14ac:dyDescent="0.2">
      <c r="A286" s="2" t="s">
        <v>286</v>
      </c>
      <c r="B286" s="19">
        <v>1.5</v>
      </c>
    </row>
    <row r="287" spans="1:2" x14ac:dyDescent="0.2">
      <c r="A287" s="2" t="s">
        <v>287</v>
      </c>
      <c r="B287" s="19">
        <v>1.55</v>
      </c>
    </row>
    <row r="288" spans="1:2" x14ac:dyDescent="0.2">
      <c r="A288" s="2" t="s">
        <v>288</v>
      </c>
      <c r="B288" s="19">
        <v>0.55000000000000004</v>
      </c>
    </row>
    <row r="289" spans="1:2" x14ac:dyDescent="0.2">
      <c r="A289" s="2" t="s">
        <v>289</v>
      </c>
      <c r="B289" s="19">
        <v>3.29</v>
      </c>
    </row>
    <row r="290" spans="1:2" x14ac:dyDescent="0.2">
      <c r="A290" s="2" t="s">
        <v>290</v>
      </c>
      <c r="B290" s="19">
        <v>2.34</v>
      </c>
    </row>
    <row r="291" spans="1:2" x14ac:dyDescent="0.2">
      <c r="A291" s="2" t="s">
        <v>291</v>
      </c>
      <c r="B291" s="19">
        <v>2.0699999999999998</v>
      </c>
    </row>
    <row r="292" spans="1:2" x14ac:dyDescent="0.2">
      <c r="A292" s="2" t="s">
        <v>292</v>
      </c>
      <c r="B292" s="19">
        <v>2.2200000000000002</v>
      </c>
    </row>
    <row r="293" spans="1:2" x14ac:dyDescent="0.2">
      <c r="A293" s="2" t="s">
        <v>293</v>
      </c>
      <c r="B293" s="19">
        <v>1.51</v>
      </c>
    </row>
    <row r="294" spans="1:2" x14ac:dyDescent="0.2">
      <c r="A294" s="2" t="s">
        <v>294</v>
      </c>
      <c r="B294" s="19">
        <v>2.69</v>
      </c>
    </row>
    <row r="295" spans="1:2" x14ac:dyDescent="0.2">
      <c r="A295" s="2" t="s">
        <v>295</v>
      </c>
      <c r="B295" s="19">
        <v>1.42</v>
      </c>
    </row>
    <row r="296" spans="1:2" x14ac:dyDescent="0.2">
      <c r="A296" s="2" t="s">
        <v>296</v>
      </c>
      <c r="B296" s="19">
        <v>1.19</v>
      </c>
    </row>
    <row r="297" spans="1:2" x14ac:dyDescent="0.2">
      <c r="A297" s="2" t="s">
        <v>297</v>
      </c>
      <c r="B297" s="19">
        <v>1.83</v>
      </c>
    </row>
    <row r="298" spans="1:2" x14ac:dyDescent="0.2">
      <c r="A298" s="2" t="s">
        <v>298</v>
      </c>
      <c r="B298" s="19">
        <v>2.2599999999999998</v>
      </c>
    </row>
    <row r="299" spans="1:2" x14ac:dyDescent="0.2">
      <c r="A299" s="2" t="s">
        <v>299</v>
      </c>
      <c r="B299" s="19">
        <v>1.49</v>
      </c>
    </row>
    <row r="300" spans="1:2" x14ac:dyDescent="0.2">
      <c r="A300" s="2" t="s">
        <v>300</v>
      </c>
      <c r="B300" s="19">
        <v>0.65</v>
      </c>
    </row>
    <row r="301" spans="1:2" x14ac:dyDescent="0.2">
      <c r="A301" s="2" t="s">
        <v>301</v>
      </c>
      <c r="B301" s="19">
        <v>1.69</v>
      </c>
    </row>
    <row r="302" spans="1:2" x14ac:dyDescent="0.2">
      <c r="A302" s="2" t="s">
        <v>302</v>
      </c>
      <c r="B302" s="19">
        <v>1.42</v>
      </c>
    </row>
    <row r="303" spans="1:2" x14ac:dyDescent="0.2">
      <c r="A303" s="2" t="s">
        <v>303</v>
      </c>
      <c r="B303" s="19">
        <v>0.53</v>
      </c>
    </row>
    <row r="304" spans="1:2" x14ac:dyDescent="0.2">
      <c r="A304" s="2" t="s">
        <v>304</v>
      </c>
      <c r="B304" s="19">
        <v>1.26</v>
      </c>
    </row>
    <row r="305" spans="1:2" x14ac:dyDescent="0.2">
      <c r="A305" s="2" t="s">
        <v>305</v>
      </c>
      <c r="B305" s="19">
        <v>1.1499999999999999</v>
      </c>
    </row>
    <row r="306" spans="1:2" x14ac:dyDescent="0.2">
      <c r="A306" s="2" t="s">
        <v>306</v>
      </c>
      <c r="B306" s="19">
        <v>2.17</v>
      </c>
    </row>
    <row r="307" spans="1:2" x14ac:dyDescent="0.2">
      <c r="A307" s="2" t="s">
        <v>307</v>
      </c>
      <c r="B307" s="19">
        <v>2.2999999999999998</v>
      </c>
    </row>
    <row r="308" spans="1:2" x14ac:dyDescent="0.2">
      <c r="A308" s="2" t="s">
        <v>308</v>
      </c>
      <c r="B308" s="19">
        <v>1.69</v>
      </c>
    </row>
    <row r="309" spans="1:2" x14ac:dyDescent="0.2">
      <c r="A309" s="2" t="s">
        <v>309</v>
      </c>
      <c r="B309" s="19">
        <v>2.21</v>
      </c>
    </row>
    <row r="310" spans="1:2" x14ac:dyDescent="0.2">
      <c r="A310" s="2" t="s">
        <v>310</v>
      </c>
      <c r="B310" s="19">
        <v>1.63</v>
      </c>
    </row>
    <row r="311" spans="1:2" x14ac:dyDescent="0.2">
      <c r="A311" s="2" t="s">
        <v>311</v>
      </c>
      <c r="B311" s="19">
        <v>1.47</v>
      </c>
    </row>
    <row r="312" spans="1:2" x14ac:dyDescent="0.2">
      <c r="A312" s="2" t="s">
        <v>312</v>
      </c>
      <c r="B312" s="19">
        <v>0.28999999999999998</v>
      </c>
    </row>
    <row r="313" spans="1:2" x14ac:dyDescent="0.2">
      <c r="A313" s="2" t="s">
        <v>313</v>
      </c>
      <c r="B313" s="19">
        <v>1.25</v>
      </c>
    </row>
    <row r="314" spans="1:2" x14ac:dyDescent="0.2">
      <c r="A314" s="2" t="s">
        <v>314</v>
      </c>
      <c r="B314" s="19">
        <v>1.42</v>
      </c>
    </row>
    <row r="315" spans="1:2" x14ac:dyDescent="0.2">
      <c r="A315" s="2" t="s">
        <v>315</v>
      </c>
      <c r="B315" s="19">
        <v>1.92</v>
      </c>
    </row>
    <row r="316" spans="1:2" x14ac:dyDescent="0.2">
      <c r="A316" s="2" t="s">
        <v>316</v>
      </c>
      <c r="B316" s="19">
        <v>0.32</v>
      </c>
    </row>
    <row r="317" spans="1:2" x14ac:dyDescent="0.2">
      <c r="A317" s="2" t="s">
        <v>317</v>
      </c>
      <c r="B317" s="19">
        <v>1.6</v>
      </c>
    </row>
    <row r="318" spans="1:2" x14ac:dyDescent="0.2">
      <c r="A318" s="2" t="s">
        <v>318</v>
      </c>
      <c r="B318" s="19">
        <v>2.21</v>
      </c>
    </row>
    <row r="319" spans="1:2" x14ac:dyDescent="0.2">
      <c r="A319" s="2" t="s">
        <v>319</v>
      </c>
      <c r="B319" s="19">
        <v>1.72</v>
      </c>
    </row>
    <row r="320" spans="1:2" x14ac:dyDescent="0.2">
      <c r="A320" s="2" t="s">
        <v>320</v>
      </c>
      <c r="B320" s="19">
        <v>2.2999999999999998</v>
      </c>
    </row>
    <row r="321" spans="1:2" x14ac:dyDescent="0.2">
      <c r="A321" s="2" t="s">
        <v>321</v>
      </c>
      <c r="B321" s="19">
        <v>1.99</v>
      </c>
    </row>
    <row r="322" spans="1:2" x14ac:dyDescent="0.2">
      <c r="A322" s="2" t="s">
        <v>322</v>
      </c>
      <c r="B322" s="19">
        <v>1.49</v>
      </c>
    </row>
    <row r="323" spans="1:2" x14ac:dyDescent="0.2">
      <c r="A323" s="2" t="s">
        <v>323</v>
      </c>
      <c r="B323" s="19">
        <v>0.78</v>
      </c>
    </row>
    <row r="324" spans="1:2" x14ac:dyDescent="0.2">
      <c r="A324" s="2" t="s">
        <v>324</v>
      </c>
      <c r="B324" s="19">
        <v>0.77</v>
      </c>
    </row>
    <row r="325" spans="1:2" x14ac:dyDescent="0.2">
      <c r="A325" s="2" t="s">
        <v>325</v>
      </c>
      <c r="B325" s="19">
        <v>1.61</v>
      </c>
    </row>
    <row r="326" spans="1:2" x14ac:dyDescent="0.2">
      <c r="A326" s="2" t="s">
        <v>326</v>
      </c>
      <c r="B326" s="19">
        <v>1.55</v>
      </c>
    </row>
    <row r="327" spans="1:2" x14ac:dyDescent="0.2">
      <c r="A327" s="2" t="s">
        <v>327</v>
      </c>
      <c r="B327" s="19">
        <v>1.99</v>
      </c>
    </row>
    <row r="328" spans="1:2" x14ac:dyDescent="0.2">
      <c r="A328" s="2" t="s">
        <v>328</v>
      </c>
      <c r="B328" s="19">
        <v>1.73</v>
      </c>
    </row>
    <row r="329" spans="1:2" x14ac:dyDescent="0.2">
      <c r="A329" s="2" t="s">
        <v>329</v>
      </c>
      <c r="B329" s="19">
        <v>1.84</v>
      </c>
    </row>
    <row r="330" spans="1:2" x14ac:dyDescent="0.2">
      <c r="A330" s="2" t="s">
        <v>330</v>
      </c>
      <c r="B330" s="19">
        <v>2.2799999999999998</v>
      </c>
    </row>
    <row r="331" spans="1:2" x14ac:dyDescent="0.2">
      <c r="A331" s="2" t="s">
        <v>331</v>
      </c>
      <c r="B331" s="19">
        <v>1.49</v>
      </c>
    </row>
    <row r="332" spans="1:2" x14ac:dyDescent="0.2">
      <c r="A332" s="2" t="s">
        <v>332</v>
      </c>
      <c r="B332" s="19">
        <v>0.93</v>
      </c>
    </row>
    <row r="333" spans="1:2" x14ac:dyDescent="0.2">
      <c r="A333" s="2" t="s">
        <v>333</v>
      </c>
      <c r="B333" s="19">
        <v>1.44</v>
      </c>
    </row>
    <row r="334" spans="1:2" x14ac:dyDescent="0.2">
      <c r="A334" s="2" t="s">
        <v>334</v>
      </c>
      <c r="B334" s="19">
        <v>1.22</v>
      </c>
    </row>
    <row r="335" spans="1:2" x14ac:dyDescent="0.2">
      <c r="A335" s="2" t="s">
        <v>335</v>
      </c>
      <c r="B335" s="19">
        <v>1.02</v>
      </c>
    </row>
    <row r="336" spans="1:2" x14ac:dyDescent="0.2">
      <c r="A336" s="2" t="s">
        <v>336</v>
      </c>
      <c r="B336" s="19">
        <v>0.84</v>
      </c>
    </row>
    <row r="337" spans="1:2" x14ac:dyDescent="0.2">
      <c r="A337" s="2" t="s">
        <v>337</v>
      </c>
      <c r="B337" s="19">
        <v>1.66</v>
      </c>
    </row>
    <row r="338" spans="1:2" x14ac:dyDescent="0.2">
      <c r="A338" s="2" t="s">
        <v>338</v>
      </c>
      <c r="B338" s="19">
        <v>1.97</v>
      </c>
    </row>
    <row r="339" spans="1:2" x14ac:dyDescent="0.2">
      <c r="A339" s="2" t="s">
        <v>339</v>
      </c>
      <c r="B339" s="19">
        <v>1.62</v>
      </c>
    </row>
    <row r="340" spans="1:2" x14ac:dyDescent="0.2">
      <c r="A340" s="2" t="s">
        <v>340</v>
      </c>
      <c r="B340" s="19">
        <v>1.08</v>
      </c>
    </row>
    <row r="341" spans="1:2" x14ac:dyDescent="0.2">
      <c r="A341" s="2" t="s">
        <v>341</v>
      </c>
      <c r="B341" s="19">
        <v>0.86</v>
      </c>
    </row>
    <row r="342" spans="1:2" x14ac:dyDescent="0.2">
      <c r="A342" s="2" t="s">
        <v>342</v>
      </c>
      <c r="B342" s="19">
        <v>1.07</v>
      </c>
    </row>
    <row r="343" spans="1:2" x14ac:dyDescent="0.2">
      <c r="A343" s="2" t="s">
        <v>343</v>
      </c>
      <c r="B343" s="19">
        <v>1.38</v>
      </c>
    </row>
    <row r="344" spans="1:2" x14ac:dyDescent="0.2">
      <c r="A344" s="2" t="s">
        <v>344</v>
      </c>
      <c r="B344" s="19">
        <v>1.43</v>
      </c>
    </row>
    <row r="345" spans="1:2" x14ac:dyDescent="0.2">
      <c r="A345" s="2" t="s">
        <v>345</v>
      </c>
      <c r="B345" s="19">
        <v>1.1200000000000001</v>
      </c>
    </row>
    <row r="346" spans="1:2" x14ac:dyDescent="0.2">
      <c r="A346" s="2" t="s">
        <v>346</v>
      </c>
      <c r="B346" s="19">
        <v>0.94</v>
      </c>
    </row>
    <row r="347" spans="1:2" x14ac:dyDescent="0.2">
      <c r="A347" s="2" t="s">
        <v>347</v>
      </c>
      <c r="B347" s="19">
        <v>0.87</v>
      </c>
    </row>
    <row r="348" spans="1:2" x14ac:dyDescent="0.2">
      <c r="A348" s="2" t="s">
        <v>348</v>
      </c>
      <c r="B348" s="19">
        <v>0.71</v>
      </c>
    </row>
    <row r="349" spans="1:2" x14ac:dyDescent="0.2">
      <c r="A349" s="2" t="s">
        <v>349</v>
      </c>
      <c r="B349" s="19">
        <v>1.65</v>
      </c>
    </row>
    <row r="350" spans="1:2" x14ac:dyDescent="0.2">
      <c r="A350" s="2" t="s">
        <v>350</v>
      </c>
      <c r="B350" s="19">
        <v>1.1599999999999999</v>
      </c>
    </row>
    <row r="351" spans="1:2" x14ac:dyDescent="0.2">
      <c r="A351" s="2" t="s">
        <v>351</v>
      </c>
      <c r="B351" s="19">
        <v>1.44</v>
      </c>
    </row>
    <row r="352" spans="1:2" x14ac:dyDescent="0.2">
      <c r="A352" s="2" t="s">
        <v>352</v>
      </c>
      <c r="B352" s="19">
        <v>1.45</v>
      </c>
    </row>
    <row r="353" spans="1:2" x14ac:dyDescent="0.2">
      <c r="A353" s="2" t="s">
        <v>353</v>
      </c>
      <c r="B353" s="19">
        <v>1.06</v>
      </c>
    </row>
    <row r="354" spans="1:2" x14ac:dyDescent="0.2">
      <c r="A354" s="2" t="s">
        <v>354</v>
      </c>
      <c r="B354" s="19">
        <v>0.93</v>
      </c>
    </row>
    <row r="355" spans="1:2" x14ac:dyDescent="0.2">
      <c r="A355" s="2" t="s">
        <v>355</v>
      </c>
      <c r="B355" s="19">
        <v>1.03</v>
      </c>
    </row>
    <row r="356" spans="1:2" x14ac:dyDescent="0.2">
      <c r="A356" s="2" t="s">
        <v>356</v>
      </c>
      <c r="B356" s="19">
        <v>1.01</v>
      </c>
    </row>
    <row r="357" spans="1:2" x14ac:dyDescent="0.2">
      <c r="A357" s="2" t="s">
        <v>357</v>
      </c>
      <c r="B357" s="19">
        <v>1.03</v>
      </c>
    </row>
    <row r="358" spans="1:2" x14ac:dyDescent="0.2">
      <c r="A358" s="2" t="s">
        <v>358</v>
      </c>
      <c r="B358" s="19">
        <v>1.47</v>
      </c>
    </row>
    <row r="359" spans="1:2" x14ac:dyDescent="0.2">
      <c r="A359" s="2" t="s">
        <v>359</v>
      </c>
      <c r="B359" s="19">
        <v>1.24</v>
      </c>
    </row>
    <row r="360" spans="1:2" x14ac:dyDescent="0.2">
      <c r="A360" s="2" t="s">
        <v>360</v>
      </c>
      <c r="B360" s="19">
        <v>1.06</v>
      </c>
    </row>
    <row r="361" spans="1:2" x14ac:dyDescent="0.2">
      <c r="A361" s="2" t="s">
        <v>361</v>
      </c>
      <c r="B361" s="19">
        <v>2.93</v>
      </c>
    </row>
    <row r="362" spans="1:2" x14ac:dyDescent="0.2">
      <c r="A362" s="2" t="s">
        <v>362</v>
      </c>
      <c r="B362" s="19">
        <v>2.66</v>
      </c>
    </row>
    <row r="363" spans="1:2" x14ac:dyDescent="0.2">
      <c r="A363" s="2" t="s">
        <v>363</v>
      </c>
      <c r="B363" s="19">
        <v>4.51</v>
      </c>
    </row>
    <row r="364" spans="1:2" x14ac:dyDescent="0.2">
      <c r="A364" s="2" t="s">
        <v>364</v>
      </c>
      <c r="B364" s="19">
        <v>5.14</v>
      </c>
    </row>
    <row r="365" spans="1:2" x14ac:dyDescent="0.2">
      <c r="A365" s="2" t="s">
        <v>365</v>
      </c>
      <c r="B365" s="19">
        <v>3.51</v>
      </c>
    </row>
    <row r="366" spans="1:2" x14ac:dyDescent="0.2">
      <c r="A366" s="2" t="s">
        <v>366</v>
      </c>
      <c r="B366" s="19">
        <v>1.98</v>
      </c>
    </row>
    <row r="367" spans="1:2" x14ac:dyDescent="0.2">
      <c r="A367" s="2" t="s">
        <v>367</v>
      </c>
      <c r="B367" s="19">
        <v>1.19</v>
      </c>
    </row>
    <row r="368" spans="1:2" x14ac:dyDescent="0.2">
      <c r="A368" s="2" t="s">
        <v>368</v>
      </c>
      <c r="B368" s="19">
        <v>1.29</v>
      </c>
    </row>
    <row r="369" spans="1:2" x14ac:dyDescent="0.2">
      <c r="A369" s="2" t="s">
        <v>369</v>
      </c>
      <c r="B369" s="19">
        <v>1.66</v>
      </c>
    </row>
    <row r="370" spans="1:2" x14ac:dyDescent="0.2">
      <c r="A370" s="2" t="s">
        <v>370</v>
      </c>
      <c r="B370" s="19">
        <v>1.5</v>
      </c>
    </row>
    <row r="371" spans="1:2" x14ac:dyDescent="0.2">
      <c r="A371" s="2" t="s">
        <v>371</v>
      </c>
      <c r="B371" s="19">
        <v>1.57</v>
      </c>
    </row>
    <row r="372" spans="1:2" x14ac:dyDescent="0.2">
      <c r="A372" s="2" t="s">
        <v>372</v>
      </c>
      <c r="B372" s="19">
        <v>2.2000000000000002</v>
      </c>
    </row>
    <row r="373" spans="1:2" x14ac:dyDescent="0.2">
      <c r="A373" s="2" t="s">
        <v>373</v>
      </c>
      <c r="B373" s="19">
        <v>2.23</v>
      </c>
    </row>
    <row r="374" spans="1:2" x14ac:dyDescent="0.2">
      <c r="A374" s="2" t="s">
        <v>374</v>
      </c>
      <c r="B374" s="19">
        <v>2.27</v>
      </c>
    </row>
    <row r="375" spans="1:2" x14ac:dyDescent="0.2">
      <c r="A375" s="2" t="s">
        <v>375</v>
      </c>
      <c r="B375" s="19">
        <v>1.57</v>
      </c>
    </row>
    <row r="376" spans="1:2" x14ac:dyDescent="0.2">
      <c r="A376" s="2" t="s">
        <v>376</v>
      </c>
      <c r="B376" s="19">
        <v>1.79</v>
      </c>
    </row>
    <row r="377" spans="1:2" x14ac:dyDescent="0.2">
      <c r="A377" s="2" t="s">
        <v>377</v>
      </c>
      <c r="B377" s="19">
        <v>2.13</v>
      </c>
    </row>
    <row r="378" spans="1:2" x14ac:dyDescent="0.2">
      <c r="A378" s="2" t="s">
        <v>378</v>
      </c>
      <c r="B378" s="19">
        <v>2.2200000000000002</v>
      </c>
    </row>
    <row r="379" spans="1:2" x14ac:dyDescent="0.2">
      <c r="A379" s="2" t="s">
        <v>379</v>
      </c>
      <c r="B379" s="19">
        <v>2.11</v>
      </c>
    </row>
    <row r="380" spans="1:2" x14ac:dyDescent="0.2">
      <c r="A380" s="2" t="s">
        <v>380</v>
      </c>
      <c r="B380" s="19">
        <v>2.79</v>
      </c>
    </row>
    <row r="381" spans="1:2" x14ac:dyDescent="0.2">
      <c r="A381" s="2" t="s">
        <v>381</v>
      </c>
      <c r="B381" s="19">
        <v>2.31</v>
      </c>
    </row>
    <row r="382" spans="1:2" x14ac:dyDescent="0.2">
      <c r="A382" s="2" t="s">
        <v>382</v>
      </c>
      <c r="B382" s="19">
        <v>2.25</v>
      </c>
    </row>
    <row r="383" spans="1:2" x14ac:dyDescent="0.2">
      <c r="A383" s="2" t="s">
        <v>383</v>
      </c>
      <c r="B383" s="19">
        <v>2.15</v>
      </c>
    </row>
    <row r="384" spans="1:2" x14ac:dyDescent="0.2">
      <c r="A384" s="2" t="s">
        <v>384</v>
      </c>
      <c r="B384" s="19">
        <v>2.1800000000000002</v>
      </c>
    </row>
    <row r="385" spans="1:2" x14ac:dyDescent="0.2">
      <c r="A385" s="2" t="s">
        <v>385</v>
      </c>
      <c r="B385" s="19">
        <v>3.09</v>
      </c>
    </row>
    <row r="386" spans="1:2" x14ac:dyDescent="0.2">
      <c r="A386" s="2" t="s">
        <v>386</v>
      </c>
      <c r="B386" s="19">
        <v>4.1500000000000004</v>
      </c>
    </row>
    <row r="387" spans="1:2" x14ac:dyDescent="0.2">
      <c r="A387" s="2" t="s">
        <v>387</v>
      </c>
      <c r="B387" s="19">
        <v>3.69</v>
      </c>
    </row>
    <row r="388" spans="1:2" x14ac:dyDescent="0.2">
      <c r="A388" s="2" t="s">
        <v>388</v>
      </c>
      <c r="B388" s="19">
        <v>3.76</v>
      </c>
    </row>
    <row r="389" spans="1:2" x14ac:dyDescent="0.2">
      <c r="A389" s="2" t="s">
        <v>389</v>
      </c>
      <c r="B389" s="19">
        <v>3.41</v>
      </c>
    </row>
    <row r="390" spans="1:2" x14ac:dyDescent="0.2">
      <c r="A390" s="2" t="s">
        <v>390</v>
      </c>
      <c r="B390" s="19">
        <v>2.67</v>
      </c>
    </row>
    <row r="391" spans="1:2" x14ac:dyDescent="0.2">
      <c r="A391" s="2" t="s">
        <v>391</v>
      </c>
      <c r="B391" s="19">
        <v>3.81</v>
      </c>
    </row>
    <row r="392" spans="1:2" x14ac:dyDescent="0.2">
      <c r="A392" s="2" t="s">
        <v>392</v>
      </c>
      <c r="B392" s="19">
        <v>4.0999999999999996</v>
      </c>
    </row>
    <row r="393" spans="1:2" x14ac:dyDescent="0.2">
      <c r="A393" s="2" t="s">
        <v>393</v>
      </c>
      <c r="B393" s="19">
        <v>3.43</v>
      </c>
    </row>
    <row r="394" spans="1:2" x14ac:dyDescent="0.2">
      <c r="A394" s="2" t="s">
        <v>394</v>
      </c>
      <c r="B394" s="19">
        <v>2.36</v>
      </c>
    </row>
    <row r="395" spans="1:2" x14ac:dyDescent="0.2">
      <c r="A395" s="2" t="s">
        <v>395</v>
      </c>
      <c r="B395" s="19">
        <v>1.9</v>
      </c>
    </row>
    <row r="396" spans="1:2" x14ac:dyDescent="0.2">
      <c r="A396" s="2" t="s">
        <v>396</v>
      </c>
      <c r="B396" s="19">
        <v>2.2999999999999998</v>
      </c>
    </row>
    <row r="397" spans="1:2" x14ac:dyDescent="0.2">
      <c r="A397" s="2" t="s">
        <v>397</v>
      </c>
      <c r="B397" s="19">
        <v>3.74</v>
      </c>
    </row>
    <row r="398" spans="1:2" x14ac:dyDescent="0.2">
      <c r="A398" s="2" t="s">
        <v>398</v>
      </c>
      <c r="B398" s="19">
        <v>3.17</v>
      </c>
    </row>
    <row r="399" spans="1:2" x14ac:dyDescent="0.2">
      <c r="A399" s="2" t="s">
        <v>399</v>
      </c>
      <c r="B399" s="19">
        <v>4.1500000000000004</v>
      </c>
    </row>
    <row r="400" spans="1:2" x14ac:dyDescent="0.2">
      <c r="A400" s="2" t="s">
        <v>400</v>
      </c>
      <c r="B400" s="19">
        <v>4.08</v>
      </c>
    </row>
    <row r="401" spans="1:2" x14ac:dyDescent="0.2">
      <c r="A401" s="2" t="s">
        <v>401</v>
      </c>
      <c r="B401" s="19">
        <v>3.58</v>
      </c>
    </row>
    <row r="402" spans="1:2" x14ac:dyDescent="0.2">
      <c r="A402" s="2" t="s">
        <v>402</v>
      </c>
      <c r="B402" s="19">
        <v>1.96</v>
      </c>
    </row>
    <row r="403" spans="1:2" x14ac:dyDescent="0.2">
      <c r="A403" s="2" t="s">
        <v>403</v>
      </c>
      <c r="B403" s="19">
        <v>2.0699999999999998</v>
      </c>
    </row>
    <row r="404" spans="1:2" x14ac:dyDescent="0.2">
      <c r="A404" s="2" t="s">
        <v>404</v>
      </c>
      <c r="B404" s="19">
        <v>1.3</v>
      </c>
    </row>
    <row r="405" spans="1:2" x14ac:dyDescent="0.2">
      <c r="A405" s="2" t="s">
        <v>405</v>
      </c>
      <c r="B405" s="19">
        <v>1.77</v>
      </c>
    </row>
    <row r="406" spans="1:2" x14ac:dyDescent="0.2">
      <c r="A406" s="2" t="s">
        <v>406</v>
      </c>
      <c r="B406" s="19">
        <v>2.74</v>
      </c>
    </row>
    <row r="407" spans="1:2" x14ac:dyDescent="0.2">
      <c r="A407" s="2" t="s">
        <v>407</v>
      </c>
      <c r="B407" s="19">
        <v>2.61</v>
      </c>
    </row>
    <row r="408" spans="1:2" x14ac:dyDescent="0.2">
      <c r="A408" s="2" t="s">
        <v>408</v>
      </c>
      <c r="B408" s="19">
        <v>2.11</v>
      </c>
    </row>
    <row r="409" spans="1:2" x14ac:dyDescent="0.2">
      <c r="A409" s="2" t="s">
        <v>409</v>
      </c>
      <c r="B409" s="19">
        <v>2.66</v>
      </c>
    </row>
    <row r="410" spans="1:2" x14ac:dyDescent="0.2">
      <c r="A410" s="2" t="s">
        <v>410</v>
      </c>
      <c r="B410" s="19">
        <v>3.4</v>
      </c>
    </row>
    <row r="411" spans="1:2" x14ac:dyDescent="0.2">
      <c r="A411" s="2" t="s">
        <v>411</v>
      </c>
      <c r="B411" s="19">
        <v>3.29</v>
      </c>
    </row>
    <row r="412" spans="1:2" x14ac:dyDescent="0.2">
      <c r="A412" s="2" t="s">
        <v>412</v>
      </c>
      <c r="B412" s="19">
        <v>3.36</v>
      </c>
    </row>
    <row r="413" spans="1:2" x14ac:dyDescent="0.2">
      <c r="A413" s="2" t="s">
        <v>413</v>
      </c>
      <c r="B413" s="19">
        <v>3.21</v>
      </c>
    </row>
    <row r="414" spans="1:2" x14ac:dyDescent="0.2">
      <c r="A414" s="2" t="s">
        <v>414</v>
      </c>
      <c r="B414" s="19">
        <v>3.63</v>
      </c>
    </row>
    <row r="415" spans="1:2" x14ac:dyDescent="0.2">
      <c r="A415" s="2" t="s">
        <v>415</v>
      </c>
      <c r="B415" s="19">
        <v>2.82</v>
      </c>
    </row>
    <row r="416" spans="1:2" x14ac:dyDescent="0.2">
      <c r="A416" s="2" t="s">
        <v>416</v>
      </c>
      <c r="B416" s="19">
        <v>2.67</v>
      </c>
    </row>
    <row r="417" spans="1:2" x14ac:dyDescent="0.2">
      <c r="A417" s="2" t="s">
        <v>417</v>
      </c>
      <c r="B417" s="19">
        <v>2.5499999999999998</v>
      </c>
    </row>
    <row r="418" spans="1:2" x14ac:dyDescent="0.2">
      <c r="A418" s="2" t="s">
        <v>418</v>
      </c>
      <c r="B418" s="19">
        <v>2.87</v>
      </c>
    </row>
    <row r="419" spans="1:2" x14ac:dyDescent="0.2">
      <c r="A419" s="2" t="s">
        <v>419</v>
      </c>
      <c r="B419" s="19">
        <v>2.75</v>
      </c>
    </row>
    <row r="420" spans="1:2" x14ac:dyDescent="0.2">
      <c r="A420" s="2" t="s">
        <v>420</v>
      </c>
      <c r="B420" s="19">
        <v>1.52</v>
      </c>
    </row>
    <row r="421" spans="1:2" x14ac:dyDescent="0.2">
      <c r="A421" s="2" t="s">
        <v>421</v>
      </c>
      <c r="B421" s="19">
        <v>3.68</v>
      </c>
    </row>
    <row r="422" spans="1:2" x14ac:dyDescent="0.2">
      <c r="A422" s="2" t="s">
        <v>422</v>
      </c>
      <c r="B422" s="19">
        <v>3.75</v>
      </c>
    </row>
    <row r="423" spans="1:2" x14ac:dyDescent="0.2">
      <c r="A423" s="2" t="s">
        <v>423</v>
      </c>
      <c r="B423" s="19">
        <v>5.77</v>
      </c>
    </row>
    <row r="424" spans="1:2" x14ac:dyDescent="0.2">
      <c r="A424" s="2" t="s">
        <v>424</v>
      </c>
      <c r="B424" s="19">
        <v>3.77</v>
      </c>
    </row>
    <row r="425" spans="1:2" x14ac:dyDescent="0.2">
      <c r="A425" s="2" t="s">
        <v>425</v>
      </c>
      <c r="B425" s="19">
        <v>2.34</v>
      </c>
    </row>
    <row r="426" spans="1:2" x14ac:dyDescent="0.2">
      <c r="A426" s="2" t="s">
        <v>426</v>
      </c>
      <c r="B426" s="19">
        <v>3.45</v>
      </c>
    </row>
    <row r="427" spans="1:2" x14ac:dyDescent="0.2">
      <c r="A427" s="2" t="s">
        <v>427</v>
      </c>
      <c r="B427" s="19">
        <v>4.3600000000000003</v>
      </c>
    </row>
    <row r="428" spans="1:2" x14ac:dyDescent="0.2">
      <c r="A428" s="2" t="s">
        <v>428</v>
      </c>
      <c r="B428" s="19">
        <v>5.83</v>
      </c>
    </row>
    <row r="429" spans="1:2" x14ac:dyDescent="0.2">
      <c r="A429" s="2" t="s">
        <v>429</v>
      </c>
      <c r="B429" s="19">
        <v>7.69</v>
      </c>
    </row>
    <row r="430" spans="1:2" x14ac:dyDescent="0.2">
      <c r="A430" s="2" t="s">
        <v>430</v>
      </c>
      <c r="B430" s="19">
        <v>5.25</v>
      </c>
    </row>
    <row r="431" spans="1:2" x14ac:dyDescent="0.2">
      <c r="A431" s="2" t="s">
        <v>431</v>
      </c>
      <c r="B431" s="19">
        <v>5.57</v>
      </c>
    </row>
    <row r="432" spans="1:2" x14ac:dyDescent="0.2">
      <c r="A432" s="2" t="s">
        <v>432</v>
      </c>
      <c r="B432" s="19">
        <v>7.3</v>
      </c>
    </row>
    <row r="433" spans="1:2" x14ac:dyDescent="0.2">
      <c r="A433" s="2" t="s">
        <v>433</v>
      </c>
      <c r="B433" s="19">
        <v>6.24</v>
      </c>
    </row>
    <row r="434" spans="1:2" x14ac:dyDescent="0.2">
      <c r="A434" s="2" t="s">
        <v>434</v>
      </c>
      <c r="B434" s="19">
        <v>4.2</v>
      </c>
    </row>
    <row r="435" spans="1:2" x14ac:dyDescent="0.2">
      <c r="A435" s="2" t="s">
        <v>435</v>
      </c>
      <c r="B435" s="19">
        <v>6.57</v>
      </c>
    </row>
    <row r="436" spans="1:2" x14ac:dyDescent="0.2">
      <c r="A436" s="2" t="s">
        <v>436</v>
      </c>
      <c r="B436" s="19">
        <v>5.72</v>
      </c>
    </row>
    <row r="437" spans="1:2" x14ac:dyDescent="0.2">
      <c r="A437" s="2" t="s">
        <v>437</v>
      </c>
      <c r="B437" s="19">
        <v>6.39</v>
      </c>
    </row>
    <row r="438" spans="1:2" x14ac:dyDescent="0.2">
      <c r="A438" s="2" t="s">
        <v>438</v>
      </c>
      <c r="B438" s="19">
        <v>5.86</v>
      </c>
    </row>
    <row r="439" spans="1:2" x14ac:dyDescent="0.2">
      <c r="A439" s="2" t="s">
        <v>439</v>
      </c>
      <c r="B439" s="19">
        <v>8.4499999999999993</v>
      </c>
    </row>
    <row r="440" spans="1:2" x14ac:dyDescent="0.2">
      <c r="A440" s="2" t="s">
        <v>440</v>
      </c>
      <c r="B440" s="19">
        <v>6.92</v>
      </c>
    </row>
    <row r="441" spans="1:2" x14ac:dyDescent="0.2">
      <c r="A441" s="2" t="s">
        <v>441</v>
      </c>
      <c r="B441" s="19">
        <v>5.28</v>
      </c>
    </row>
    <row r="442" spans="1:2" x14ac:dyDescent="0.2">
      <c r="A442" s="2" t="s">
        <v>442</v>
      </c>
      <c r="B442" s="19">
        <v>7.65</v>
      </c>
    </row>
    <row r="443" spans="1:2" x14ac:dyDescent="0.2">
      <c r="A443" s="2" t="s">
        <v>443</v>
      </c>
      <c r="B443" s="19">
        <v>7.55</v>
      </c>
    </row>
    <row r="444" spans="1:2" x14ac:dyDescent="0.2">
      <c r="A444" s="2" t="s">
        <v>444</v>
      </c>
      <c r="B444" s="19">
        <v>5.89</v>
      </c>
    </row>
    <row r="445" spans="1:2" x14ac:dyDescent="0.2">
      <c r="A445" s="2" t="s">
        <v>445</v>
      </c>
      <c r="B445" s="19">
        <v>6.56</v>
      </c>
    </row>
    <row r="446" spans="1:2" x14ac:dyDescent="0.2">
      <c r="A446" s="2" t="s">
        <v>446</v>
      </c>
      <c r="B446" s="19">
        <v>8.48</v>
      </c>
    </row>
    <row r="447" spans="1:2" x14ac:dyDescent="0.2">
      <c r="A447" s="2" t="s">
        <v>447</v>
      </c>
      <c r="B447" s="19">
        <v>7.37</v>
      </c>
    </row>
    <row r="448" spans="1:2" x14ac:dyDescent="0.2">
      <c r="A448" s="2" t="s">
        <v>448</v>
      </c>
      <c r="B448" s="19">
        <v>5.47</v>
      </c>
    </row>
    <row r="449" spans="1:2" x14ac:dyDescent="0.2">
      <c r="A449" s="2" t="s">
        <v>449</v>
      </c>
      <c r="B449" s="19">
        <v>6.19</v>
      </c>
    </row>
    <row r="450" spans="1:2" x14ac:dyDescent="0.2">
      <c r="A450" s="2" t="s">
        <v>450</v>
      </c>
      <c r="B450" s="19">
        <v>4.47</v>
      </c>
    </row>
    <row r="451" spans="1:2" x14ac:dyDescent="0.2">
      <c r="A451" s="2" t="s">
        <v>451</v>
      </c>
      <c r="B451" s="19">
        <v>5.08</v>
      </c>
    </row>
    <row r="452" spans="1:2" x14ac:dyDescent="0.2">
      <c r="A452" s="2" t="s">
        <v>452</v>
      </c>
      <c r="B452" s="19">
        <v>6.73</v>
      </c>
    </row>
    <row r="453" spans="1:2" x14ac:dyDescent="0.2">
      <c r="A453" s="2" t="s">
        <v>453</v>
      </c>
      <c r="B453" s="19">
        <v>5.07</v>
      </c>
    </row>
    <row r="454" spans="1:2" x14ac:dyDescent="0.2">
      <c r="A454" s="2" t="s">
        <v>454</v>
      </c>
      <c r="B454" s="19">
        <v>4.3499999999999996</v>
      </c>
    </row>
    <row r="455" spans="1:2" x14ac:dyDescent="0.2">
      <c r="A455" s="2" t="s">
        <v>455</v>
      </c>
      <c r="B455" s="19">
        <v>5.31</v>
      </c>
    </row>
    <row r="456" spans="1:2" x14ac:dyDescent="0.2">
      <c r="A456" s="2" t="s">
        <v>456</v>
      </c>
      <c r="B456" s="19">
        <v>3.8</v>
      </c>
    </row>
    <row r="457" spans="1:2" x14ac:dyDescent="0.2">
      <c r="A457" s="2" t="s">
        <v>457</v>
      </c>
      <c r="B457" s="19">
        <v>6.29</v>
      </c>
    </row>
    <row r="458" spans="1:2" x14ac:dyDescent="0.2">
      <c r="A458" s="2" t="s">
        <v>458</v>
      </c>
      <c r="B458" s="19">
        <v>6.85</v>
      </c>
    </row>
    <row r="459" spans="1:2" x14ac:dyDescent="0.2">
      <c r="A459" s="2" t="s">
        <v>459</v>
      </c>
      <c r="B459" s="19">
        <v>7.23</v>
      </c>
    </row>
    <row r="460" spans="1:2" x14ac:dyDescent="0.2">
      <c r="A460" s="2" t="s">
        <v>460</v>
      </c>
      <c r="B460" s="19">
        <v>5.36</v>
      </c>
    </row>
    <row r="461" spans="1:2" x14ac:dyDescent="0.2">
      <c r="A461" s="2" t="s">
        <v>461</v>
      </c>
      <c r="B461" s="19">
        <v>6.12</v>
      </c>
    </row>
    <row r="462" spans="1:2" x14ac:dyDescent="0.2">
      <c r="A462" s="2" t="s">
        <v>462</v>
      </c>
      <c r="B462" s="19">
        <v>7.99</v>
      </c>
    </row>
    <row r="463" spans="1:2" x14ac:dyDescent="0.2">
      <c r="A463" s="2" t="s">
        <v>463</v>
      </c>
      <c r="B463" s="19">
        <v>6.06</v>
      </c>
    </row>
    <row r="464" spans="1:2" x14ac:dyDescent="0.2">
      <c r="A464" s="2" t="s">
        <v>464</v>
      </c>
      <c r="B464" s="19">
        <v>5.8</v>
      </c>
    </row>
    <row r="465" spans="1:2" x14ac:dyDescent="0.2">
      <c r="A465" s="2" t="s">
        <v>465</v>
      </c>
      <c r="B465" s="19">
        <v>3.66</v>
      </c>
    </row>
    <row r="466" spans="1:2" x14ac:dyDescent="0.2">
      <c r="A466" s="2" t="s">
        <v>466</v>
      </c>
      <c r="B466" s="19">
        <v>4.78</v>
      </c>
    </row>
    <row r="467" spans="1:2" x14ac:dyDescent="0.2">
      <c r="A467" s="2" t="s">
        <v>467</v>
      </c>
      <c r="B467" s="19">
        <v>5</v>
      </c>
    </row>
    <row r="468" spans="1:2" x14ac:dyDescent="0.2">
      <c r="A468" s="2" t="s">
        <v>468</v>
      </c>
      <c r="B468" s="19">
        <v>6.14</v>
      </c>
    </row>
    <row r="469" spans="1:2" x14ac:dyDescent="0.2">
      <c r="A469" s="2" t="s">
        <v>469</v>
      </c>
      <c r="B469" s="19">
        <v>9.0500000000000007</v>
      </c>
    </row>
    <row r="470" spans="1:2" x14ac:dyDescent="0.2">
      <c r="A470" s="2" t="s">
        <v>470</v>
      </c>
      <c r="B470" s="19">
        <v>6.52</v>
      </c>
    </row>
    <row r="471" spans="1:2" x14ac:dyDescent="0.2">
      <c r="A471" s="2" t="s">
        <v>471</v>
      </c>
      <c r="B471" s="19">
        <v>10.09</v>
      </c>
    </row>
    <row r="472" spans="1:2" x14ac:dyDescent="0.2">
      <c r="A472" s="2" t="s">
        <v>472</v>
      </c>
      <c r="B472" s="19">
        <v>9.1999999999999993</v>
      </c>
    </row>
    <row r="473" spans="1:2" x14ac:dyDescent="0.2">
      <c r="A473" s="2" t="s">
        <v>473</v>
      </c>
      <c r="B473" s="19">
        <v>6.4</v>
      </c>
    </row>
    <row r="474" spans="1:2" x14ac:dyDescent="0.2">
      <c r="A474" s="2" t="s">
        <v>474</v>
      </c>
      <c r="B474" s="19">
        <v>12.61</v>
      </c>
    </row>
    <row r="475" spans="1:2" x14ac:dyDescent="0.2">
      <c r="A475" s="2" t="s">
        <v>475</v>
      </c>
      <c r="B475" s="19">
        <v>13.31</v>
      </c>
    </row>
    <row r="476" spans="1:2" x14ac:dyDescent="0.2">
      <c r="A476" s="2" t="s">
        <v>476</v>
      </c>
      <c r="B476" s="19">
        <v>10.11</v>
      </c>
    </row>
    <row r="477" spans="1:2" x14ac:dyDescent="0.2">
      <c r="A477" s="2" t="s">
        <v>477</v>
      </c>
      <c r="B477" s="19">
        <v>12.79</v>
      </c>
    </row>
    <row r="478" spans="1:2" x14ac:dyDescent="0.2">
      <c r="A478" s="2" t="s">
        <v>478</v>
      </c>
      <c r="B478" s="19">
        <v>13.26</v>
      </c>
    </row>
    <row r="479" spans="1:2" x14ac:dyDescent="0.2">
      <c r="A479" s="2" t="s">
        <v>479</v>
      </c>
      <c r="B479" s="19">
        <v>8.43</v>
      </c>
    </row>
    <row r="480" spans="1:2" x14ac:dyDescent="0.2">
      <c r="A480" s="2" t="s">
        <v>480</v>
      </c>
      <c r="B480" s="19">
        <v>7.56</v>
      </c>
    </row>
    <row r="481" spans="1:2" x14ac:dyDescent="0.2">
      <c r="A481" s="2" t="s">
        <v>481</v>
      </c>
      <c r="B481" s="19">
        <v>9.81</v>
      </c>
    </row>
    <row r="482" spans="1:2" x14ac:dyDescent="0.2">
      <c r="A482" s="2" t="s">
        <v>482</v>
      </c>
      <c r="B482" s="19">
        <v>12.26</v>
      </c>
    </row>
    <row r="483" spans="1:2" x14ac:dyDescent="0.2">
      <c r="A483" s="2" t="s">
        <v>483</v>
      </c>
      <c r="B483" s="19">
        <v>9.9499999999999993</v>
      </c>
    </row>
    <row r="484" spans="1:2" x14ac:dyDescent="0.2">
      <c r="A484" s="2" t="s">
        <v>484</v>
      </c>
      <c r="B484" s="19">
        <v>8.94</v>
      </c>
    </row>
    <row r="485" spans="1:2" x14ac:dyDescent="0.2">
      <c r="A485" s="2" t="s">
        <v>485</v>
      </c>
      <c r="B485" s="19">
        <v>8.86</v>
      </c>
    </row>
    <row r="486" spans="1:2" x14ac:dyDescent="0.2">
      <c r="A486" s="2" t="s">
        <v>486</v>
      </c>
      <c r="B486" s="19">
        <v>9.25</v>
      </c>
    </row>
    <row r="487" spans="1:2" x14ac:dyDescent="0.2">
      <c r="A487" s="2" t="s">
        <v>487</v>
      </c>
      <c r="B487" s="19">
        <v>10.32</v>
      </c>
    </row>
    <row r="488" spans="1:2" x14ac:dyDescent="0.2">
      <c r="A488" s="2" t="s">
        <v>488</v>
      </c>
      <c r="B488" s="19">
        <v>10.62</v>
      </c>
    </row>
    <row r="489" spans="1:2" x14ac:dyDescent="0.2">
      <c r="A489" s="2" t="s">
        <v>489</v>
      </c>
      <c r="B489" s="19">
        <v>10.51</v>
      </c>
    </row>
    <row r="490" spans="1:2" x14ac:dyDescent="0.2">
      <c r="A490" s="2" t="s">
        <v>490</v>
      </c>
      <c r="B490" s="19">
        <v>12.58</v>
      </c>
    </row>
    <row r="491" spans="1:2" x14ac:dyDescent="0.2">
      <c r="A491" s="2" t="s">
        <v>491</v>
      </c>
      <c r="B491" s="19">
        <v>9.8800000000000008</v>
      </c>
    </row>
    <row r="492" spans="1:2" x14ac:dyDescent="0.2">
      <c r="A492" s="2" t="s">
        <v>492</v>
      </c>
      <c r="B492" s="19">
        <v>10.53</v>
      </c>
    </row>
    <row r="493" spans="1:2" x14ac:dyDescent="0.2">
      <c r="A493" s="2" t="s">
        <v>493</v>
      </c>
      <c r="B493" s="19">
        <v>12.64</v>
      </c>
    </row>
    <row r="494" spans="1:2" x14ac:dyDescent="0.2">
      <c r="A494" s="2" t="s">
        <v>494</v>
      </c>
      <c r="B494" s="19">
        <v>10.16</v>
      </c>
    </row>
    <row r="495" spans="1:2" x14ac:dyDescent="0.2">
      <c r="A495" s="2" t="s">
        <v>495</v>
      </c>
      <c r="B495" s="19">
        <v>12.71</v>
      </c>
    </row>
    <row r="496" spans="1:2" x14ac:dyDescent="0.2">
      <c r="A496" s="2" t="s">
        <v>496</v>
      </c>
      <c r="B496" s="19">
        <v>7.22</v>
      </c>
    </row>
    <row r="497" spans="1:2" x14ac:dyDescent="0.2">
      <c r="A497" s="2" t="s">
        <v>497</v>
      </c>
      <c r="B497" s="19">
        <v>7.78</v>
      </c>
    </row>
    <row r="498" spans="1:2" x14ac:dyDescent="0.2">
      <c r="A498" s="2" t="s">
        <v>498</v>
      </c>
      <c r="B498" s="19">
        <v>7.84</v>
      </c>
    </row>
    <row r="499" spans="1:2" x14ac:dyDescent="0.2">
      <c r="A499" s="2" t="s">
        <v>499</v>
      </c>
      <c r="B499" s="19">
        <v>8.92</v>
      </c>
    </row>
    <row r="500" spans="1:2" x14ac:dyDescent="0.2">
      <c r="A500" s="2" t="s">
        <v>500</v>
      </c>
      <c r="B500" s="19">
        <v>14</v>
      </c>
    </row>
    <row r="501" spans="1:2" x14ac:dyDescent="0.2">
      <c r="A501" s="2" t="s">
        <v>501</v>
      </c>
      <c r="B501" s="19">
        <v>9.1300000000000008</v>
      </c>
    </row>
    <row r="502" spans="1:2" x14ac:dyDescent="0.2">
      <c r="A502" s="2" t="s">
        <v>502</v>
      </c>
      <c r="B502" s="19">
        <v>9.0500000000000007</v>
      </c>
    </row>
    <row r="503" spans="1:2" x14ac:dyDescent="0.2">
      <c r="A503" s="2" t="s">
        <v>503</v>
      </c>
      <c r="B503" s="19">
        <v>14.95</v>
      </c>
    </row>
    <row r="504" spans="1:2" x14ac:dyDescent="0.2">
      <c r="A504" s="2" t="s">
        <v>504</v>
      </c>
      <c r="B504" s="19">
        <v>13.2</v>
      </c>
    </row>
    <row r="505" spans="1:2" x14ac:dyDescent="0.2">
      <c r="A505" s="2" t="s">
        <v>505</v>
      </c>
      <c r="B505" s="19">
        <v>17.79</v>
      </c>
    </row>
    <row r="506" spans="1:2" x14ac:dyDescent="0.2">
      <c r="A506" s="2" t="s">
        <v>506</v>
      </c>
      <c r="B506" s="19">
        <v>14.98</v>
      </c>
    </row>
    <row r="507" spans="1:2" x14ac:dyDescent="0.2">
      <c r="A507" s="2" t="s">
        <v>507</v>
      </c>
      <c r="B507" s="19">
        <v>5.52</v>
      </c>
    </row>
    <row r="508" spans="1:2" x14ac:dyDescent="0.2">
      <c r="A508" s="2" t="s">
        <v>508</v>
      </c>
      <c r="B508" s="19">
        <v>-0.57999999999999996</v>
      </c>
    </row>
    <row r="509" spans="1:2" x14ac:dyDescent="0.2">
      <c r="A509" s="2" t="s">
        <v>509</v>
      </c>
      <c r="B509" s="19">
        <v>0.32</v>
      </c>
    </row>
    <row r="510" spans="1:2" x14ac:dyDescent="0.2">
      <c r="A510" s="2" t="s">
        <v>510</v>
      </c>
      <c r="B510" s="19">
        <v>0.53</v>
      </c>
    </row>
    <row r="511" spans="1:2" x14ac:dyDescent="0.2">
      <c r="A511" s="2" t="s">
        <v>511</v>
      </c>
      <c r="B511" s="19">
        <v>0.63</v>
      </c>
    </row>
    <row r="512" spans="1:2" x14ac:dyDescent="0.2">
      <c r="A512" s="2" t="s">
        <v>512</v>
      </c>
      <c r="B512" s="19">
        <v>1.33</v>
      </c>
    </row>
    <row r="513" spans="1:2" x14ac:dyDescent="0.2">
      <c r="A513" s="2" t="s">
        <v>513</v>
      </c>
      <c r="B513" s="19">
        <v>1.0900000000000001</v>
      </c>
    </row>
    <row r="514" spans="1:2" x14ac:dyDescent="0.2">
      <c r="A514" s="2" t="s">
        <v>514</v>
      </c>
      <c r="B514" s="19">
        <v>1.39</v>
      </c>
    </row>
    <row r="515" spans="1:2" x14ac:dyDescent="0.2">
      <c r="A515" s="2" t="s">
        <v>515</v>
      </c>
      <c r="B515" s="19">
        <v>2.46</v>
      </c>
    </row>
    <row r="516" spans="1:2" x14ac:dyDescent="0.2">
      <c r="A516" s="2" t="s">
        <v>516</v>
      </c>
      <c r="B516" s="19">
        <v>7.56</v>
      </c>
    </row>
    <row r="517" spans="1:2" x14ac:dyDescent="0.2">
      <c r="A517" s="2" t="s">
        <v>517</v>
      </c>
      <c r="B517" s="19">
        <v>12.04</v>
      </c>
    </row>
    <row r="518" spans="1:2" x14ac:dyDescent="0.2">
      <c r="A518" s="2" t="s">
        <v>518</v>
      </c>
      <c r="B518" s="19">
        <v>14.11</v>
      </c>
    </row>
    <row r="519" spans="1:2" x14ac:dyDescent="0.2">
      <c r="A519" s="2" t="s">
        <v>519</v>
      </c>
      <c r="B519" s="19">
        <v>15</v>
      </c>
    </row>
    <row r="520" spans="1:2" x14ac:dyDescent="0.2">
      <c r="A520" s="2" t="s">
        <v>520</v>
      </c>
      <c r="B520" s="19">
        <v>20.079999999999998</v>
      </c>
    </row>
    <row r="521" spans="1:2" x14ac:dyDescent="0.2">
      <c r="A521" s="2" t="s">
        <v>521</v>
      </c>
      <c r="B521" s="19">
        <v>27.58</v>
      </c>
    </row>
    <row r="522" spans="1:2" x14ac:dyDescent="0.2">
      <c r="A522" s="2" t="s">
        <v>522</v>
      </c>
      <c r="B522" s="19">
        <v>25.88</v>
      </c>
    </row>
    <row r="523" spans="1:2" x14ac:dyDescent="0.2">
      <c r="A523" s="2" t="s">
        <v>523</v>
      </c>
      <c r="B523" s="19">
        <v>9.33</v>
      </c>
    </row>
    <row r="524" spans="1:2" x14ac:dyDescent="0.2">
      <c r="A524" s="2" t="s">
        <v>524</v>
      </c>
      <c r="B524" s="19">
        <v>4.5</v>
      </c>
    </row>
    <row r="525" spans="1:2" x14ac:dyDescent="0.2">
      <c r="A525" s="2" t="s">
        <v>525</v>
      </c>
      <c r="B525" s="19">
        <v>8.02</v>
      </c>
    </row>
    <row r="526" spans="1:2" x14ac:dyDescent="0.2">
      <c r="A526" s="2" t="s">
        <v>526</v>
      </c>
      <c r="B526" s="19">
        <v>11.15</v>
      </c>
    </row>
    <row r="527" spans="1:2" x14ac:dyDescent="0.2">
      <c r="A527" s="2" t="s">
        <v>527</v>
      </c>
      <c r="B527" s="19">
        <v>14.47</v>
      </c>
    </row>
    <row r="528" spans="1:2" x14ac:dyDescent="0.2">
      <c r="A528" s="2" t="s">
        <v>528</v>
      </c>
      <c r="B528" s="19">
        <v>15.89</v>
      </c>
    </row>
    <row r="529" spans="1:2" x14ac:dyDescent="0.2">
      <c r="A529" s="2" t="s">
        <v>529</v>
      </c>
      <c r="B529" s="19">
        <v>19.14</v>
      </c>
    </row>
    <row r="530" spans="1:2" x14ac:dyDescent="0.2">
      <c r="A530" s="2" t="s">
        <v>530</v>
      </c>
      <c r="B530" s="19">
        <v>17.649999999999999</v>
      </c>
    </row>
    <row r="531" spans="1:2" x14ac:dyDescent="0.2">
      <c r="A531" s="2" t="s">
        <v>531</v>
      </c>
      <c r="B531" s="19">
        <v>18.16</v>
      </c>
    </row>
    <row r="532" spans="1:2" x14ac:dyDescent="0.2">
      <c r="A532" s="2" t="s">
        <v>532</v>
      </c>
      <c r="B532" s="19">
        <v>20.329999999999998</v>
      </c>
    </row>
    <row r="533" spans="1:2" x14ac:dyDescent="0.2">
      <c r="A533" s="2" t="s">
        <v>533</v>
      </c>
      <c r="B533" s="19">
        <v>19.510000000000002</v>
      </c>
    </row>
    <row r="534" spans="1:2" x14ac:dyDescent="0.2">
      <c r="A534" s="2" t="s">
        <v>534</v>
      </c>
      <c r="B534" s="19">
        <v>20.83</v>
      </c>
    </row>
    <row r="535" spans="1:2" x14ac:dyDescent="0.2">
      <c r="A535" s="2" t="s">
        <v>535</v>
      </c>
      <c r="B535" s="19">
        <v>21.54</v>
      </c>
    </row>
    <row r="536" spans="1:2" x14ac:dyDescent="0.2">
      <c r="A536" s="2" t="s">
        <v>536</v>
      </c>
      <c r="B536" s="19">
        <v>22.89</v>
      </c>
    </row>
    <row r="537" spans="1:2" x14ac:dyDescent="0.2">
      <c r="A537" s="2" t="s">
        <v>537</v>
      </c>
      <c r="B537" s="19">
        <v>25.76</v>
      </c>
    </row>
    <row r="538" spans="1:2" x14ac:dyDescent="0.2">
      <c r="A538" s="2" t="s">
        <v>538</v>
      </c>
      <c r="B538" s="19">
        <v>27.58</v>
      </c>
    </row>
    <row r="539" spans="1:2" x14ac:dyDescent="0.2">
      <c r="A539" s="2" t="s">
        <v>539</v>
      </c>
      <c r="B539" s="19">
        <v>27.97</v>
      </c>
    </row>
    <row r="540" spans="1:2" x14ac:dyDescent="0.2">
      <c r="A540" s="2" t="s">
        <v>540</v>
      </c>
      <c r="B540" s="19">
        <v>28.89</v>
      </c>
    </row>
    <row r="541" spans="1:2" x14ac:dyDescent="0.2">
      <c r="A541" s="2" t="s">
        <v>541</v>
      </c>
      <c r="B541" s="19">
        <v>36.56</v>
      </c>
    </row>
    <row r="542" spans="1:2" x14ac:dyDescent="0.2">
      <c r="A542" s="2" t="s">
        <v>542</v>
      </c>
      <c r="B542" s="19">
        <v>11.8</v>
      </c>
    </row>
    <row r="543" spans="1:2" x14ac:dyDescent="0.2">
      <c r="A543" s="2" t="s">
        <v>543</v>
      </c>
      <c r="B543" s="19">
        <v>4.2300000000000004</v>
      </c>
    </row>
    <row r="544" spans="1:2" x14ac:dyDescent="0.2">
      <c r="A544" s="2" t="s">
        <v>544</v>
      </c>
      <c r="B544" s="19">
        <v>5.17</v>
      </c>
    </row>
    <row r="545" spans="1:2" x14ac:dyDescent="0.2">
      <c r="A545" s="2" t="s">
        <v>545</v>
      </c>
      <c r="B545" s="19">
        <v>12.76</v>
      </c>
    </row>
    <row r="546" spans="1:2" x14ac:dyDescent="0.2">
      <c r="A546" s="2" t="s">
        <v>546</v>
      </c>
      <c r="B546" s="19">
        <v>26.76</v>
      </c>
    </row>
    <row r="547" spans="1:2" x14ac:dyDescent="0.2">
      <c r="A547" s="2" t="s">
        <v>547</v>
      </c>
      <c r="B547" s="19">
        <v>37.880000000000003</v>
      </c>
    </row>
    <row r="548" spans="1:2" x14ac:dyDescent="0.2">
      <c r="A548" s="2" t="s">
        <v>548</v>
      </c>
      <c r="B548" s="19">
        <v>36.479999999999997</v>
      </c>
    </row>
    <row r="549" spans="1:2" x14ac:dyDescent="0.2">
      <c r="A549" s="2" t="s">
        <v>549</v>
      </c>
      <c r="B549" s="19">
        <v>38.92</v>
      </c>
    </row>
    <row r="550" spans="1:2" x14ac:dyDescent="0.2">
      <c r="A550" s="2" t="s">
        <v>550</v>
      </c>
      <c r="B550" s="19">
        <v>39.700000000000003</v>
      </c>
    </row>
    <row r="551" spans="1:2" x14ac:dyDescent="0.2">
      <c r="A551" s="2" t="s">
        <v>551</v>
      </c>
      <c r="B551" s="19">
        <v>44.27</v>
      </c>
    </row>
    <row r="552" spans="1:2" x14ac:dyDescent="0.2">
      <c r="A552" s="2" t="s">
        <v>552</v>
      </c>
      <c r="B552" s="19">
        <v>49.39</v>
      </c>
    </row>
    <row r="553" spans="1:2" x14ac:dyDescent="0.2">
      <c r="A553" s="2" t="s">
        <v>553</v>
      </c>
      <c r="B553" s="19">
        <v>71.900000000000006</v>
      </c>
    </row>
    <row r="554" spans="1:2" x14ac:dyDescent="0.2">
      <c r="A554" s="2" t="s">
        <v>554</v>
      </c>
      <c r="B554" s="19">
        <v>71.680000000000007</v>
      </c>
    </row>
    <row r="555" spans="1:2" x14ac:dyDescent="0.2">
      <c r="A555" s="2" t="s">
        <v>555</v>
      </c>
      <c r="B555" s="19">
        <v>81.319999999999993</v>
      </c>
    </row>
    <row r="556" spans="1:2" x14ac:dyDescent="0.2">
      <c r="A556" s="2" t="s">
        <v>556</v>
      </c>
      <c r="B556" s="19">
        <v>11.33</v>
      </c>
    </row>
    <row r="557" spans="1:2" x14ac:dyDescent="0.2">
      <c r="A557" s="2" t="s">
        <v>557</v>
      </c>
      <c r="B557" s="19">
        <v>9.08</v>
      </c>
    </row>
    <row r="558" spans="1:2" x14ac:dyDescent="0.2">
      <c r="A558" s="2" t="s">
        <v>558</v>
      </c>
      <c r="B558" s="19">
        <v>9.02</v>
      </c>
    </row>
    <row r="559" spans="1:2" x14ac:dyDescent="0.2">
      <c r="A559" s="2" t="s">
        <v>559</v>
      </c>
      <c r="B559" s="19">
        <v>12.98</v>
      </c>
    </row>
    <row r="560" spans="1:2" x14ac:dyDescent="0.2">
      <c r="A560" s="2" t="s">
        <v>560</v>
      </c>
      <c r="B560" s="19">
        <v>12.93</v>
      </c>
    </row>
    <row r="561" spans="1:2" x14ac:dyDescent="0.2">
      <c r="A561" s="2" t="s">
        <v>561</v>
      </c>
      <c r="B561" s="19">
        <v>11.71</v>
      </c>
    </row>
    <row r="562" spans="1:2" x14ac:dyDescent="0.2">
      <c r="A562" s="2" t="s">
        <v>562</v>
      </c>
      <c r="B562" s="19">
        <v>14.16</v>
      </c>
    </row>
    <row r="563" spans="1:2" x14ac:dyDescent="0.2">
      <c r="A563" s="2" t="s">
        <v>563</v>
      </c>
      <c r="B563" s="19">
        <v>17.45</v>
      </c>
    </row>
    <row r="564" spans="1:2" x14ac:dyDescent="0.2">
      <c r="A564" s="2" t="s">
        <v>564</v>
      </c>
      <c r="B564" s="19">
        <v>16.46</v>
      </c>
    </row>
    <row r="565" spans="1:2" x14ac:dyDescent="0.2">
      <c r="A565" s="2" t="s">
        <v>565</v>
      </c>
      <c r="B565" s="19">
        <v>19.93</v>
      </c>
    </row>
    <row r="566" spans="1:2" x14ac:dyDescent="0.2">
      <c r="A566" s="2" t="s">
        <v>566</v>
      </c>
      <c r="B566" s="19">
        <v>21.11</v>
      </c>
    </row>
    <row r="567" spans="1:2" x14ac:dyDescent="0.2">
      <c r="A567" s="2" t="s">
        <v>567</v>
      </c>
      <c r="B567" s="19">
        <v>7.25</v>
      </c>
    </row>
    <row r="568" spans="1:2" x14ac:dyDescent="0.2">
      <c r="A568" s="2" t="s">
        <v>568</v>
      </c>
      <c r="B568" s="19">
        <v>8.74</v>
      </c>
    </row>
    <row r="569" spans="1:2" x14ac:dyDescent="0.2">
      <c r="A569" s="2" t="s">
        <v>569</v>
      </c>
      <c r="B569" s="19">
        <v>6.53</v>
      </c>
    </row>
    <row r="570" spans="1:2" x14ac:dyDescent="0.2">
      <c r="A570" s="2" t="s">
        <v>570</v>
      </c>
      <c r="B570" s="19">
        <v>9.86</v>
      </c>
    </row>
    <row r="571" spans="1:2" x14ac:dyDescent="0.2">
      <c r="A571" s="2" t="s">
        <v>571</v>
      </c>
      <c r="B571" s="19">
        <v>12.83</v>
      </c>
    </row>
    <row r="572" spans="1:2" x14ac:dyDescent="0.2">
      <c r="A572" s="2" t="s">
        <v>572</v>
      </c>
      <c r="B572" s="19">
        <v>15.49</v>
      </c>
    </row>
    <row r="573" spans="1:2" x14ac:dyDescent="0.2">
      <c r="A573" s="2" t="s">
        <v>573</v>
      </c>
      <c r="B573" s="19">
        <v>16.190000000000001</v>
      </c>
    </row>
    <row r="574" spans="1:2" x14ac:dyDescent="0.2">
      <c r="A574" s="2" t="s">
        <v>574</v>
      </c>
      <c r="B574" s="19">
        <v>25.85</v>
      </c>
    </row>
    <row r="575" spans="1:2" x14ac:dyDescent="0.2">
      <c r="A575" s="2" t="s">
        <v>575</v>
      </c>
      <c r="B575" s="19">
        <v>25.76</v>
      </c>
    </row>
    <row r="576" spans="1:2" x14ac:dyDescent="0.2">
      <c r="A576" s="2" t="s">
        <v>576</v>
      </c>
      <c r="B576" s="19">
        <v>22.14</v>
      </c>
    </row>
    <row r="577" spans="1:2" x14ac:dyDescent="0.2">
      <c r="A577" s="2" t="s">
        <v>577</v>
      </c>
      <c r="B577" s="19">
        <v>26.84</v>
      </c>
    </row>
    <row r="578" spans="1:2" x14ac:dyDescent="0.2">
      <c r="A578" s="2" t="s">
        <v>578</v>
      </c>
      <c r="B578" s="19">
        <v>24.79</v>
      </c>
    </row>
    <row r="579" spans="1:2" x14ac:dyDescent="0.2">
      <c r="A579" s="2" t="s">
        <v>579</v>
      </c>
      <c r="B579" s="19">
        <v>20.7</v>
      </c>
    </row>
    <row r="580" spans="1:2" x14ac:dyDescent="0.2">
      <c r="A580" s="2" t="s">
        <v>580</v>
      </c>
      <c r="B580" s="19">
        <v>18.54</v>
      </c>
    </row>
    <row r="581" spans="1:2" x14ac:dyDescent="0.2">
      <c r="A581" s="2" t="s">
        <v>581</v>
      </c>
      <c r="B581" s="19">
        <v>22.45</v>
      </c>
    </row>
    <row r="582" spans="1:2" x14ac:dyDescent="0.2">
      <c r="A582" s="2" t="s">
        <v>582</v>
      </c>
      <c r="B582" s="19">
        <v>21.42</v>
      </c>
    </row>
    <row r="583" spans="1:2" x14ac:dyDescent="0.2">
      <c r="A583" s="2" t="s">
        <v>583</v>
      </c>
      <c r="B583" s="19">
        <v>21.69</v>
      </c>
    </row>
    <row r="584" spans="1:2" x14ac:dyDescent="0.2">
      <c r="A584" s="2" t="s">
        <v>584</v>
      </c>
      <c r="B584" s="19">
        <v>25.54</v>
      </c>
    </row>
    <row r="585" spans="1:2" x14ac:dyDescent="0.2">
      <c r="A585" s="2" t="s">
        <v>585</v>
      </c>
      <c r="B585" s="19">
        <v>27.37</v>
      </c>
    </row>
    <row r="586" spans="1:2" x14ac:dyDescent="0.2">
      <c r="A586" s="2" t="s">
        <v>586</v>
      </c>
      <c r="B586" s="19">
        <v>24.94</v>
      </c>
    </row>
    <row r="587" spans="1:2" x14ac:dyDescent="0.2">
      <c r="A587" s="2" t="s">
        <v>587</v>
      </c>
      <c r="B587" s="19">
        <v>24.22</v>
      </c>
    </row>
    <row r="588" spans="1:2" x14ac:dyDescent="0.2">
      <c r="A588" s="2" t="s">
        <v>588</v>
      </c>
      <c r="B588" s="19">
        <v>23.7</v>
      </c>
    </row>
    <row r="589" spans="1:2" x14ac:dyDescent="0.2">
      <c r="A589" s="2" t="s">
        <v>589</v>
      </c>
      <c r="B589" s="19">
        <v>28.73</v>
      </c>
    </row>
    <row r="590" spans="1:2" x14ac:dyDescent="0.2">
      <c r="A590" s="2" t="s">
        <v>590</v>
      </c>
      <c r="B590" s="19">
        <v>26.51</v>
      </c>
    </row>
    <row r="591" spans="1:2" x14ac:dyDescent="0.2">
      <c r="A591" s="2" t="s">
        <v>591</v>
      </c>
      <c r="B591" s="19">
        <v>27.81</v>
      </c>
    </row>
    <row r="592" spans="1:2" x14ac:dyDescent="0.2">
      <c r="A592" s="2" t="s">
        <v>592</v>
      </c>
      <c r="B592" s="19">
        <v>28.21</v>
      </c>
    </row>
    <row r="593" spans="1:2" x14ac:dyDescent="0.2">
      <c r="A593" s="2" t="s">
        <v>593</v>
      </c>
      <c r="B593" s="19">
        <v>32.270000000000003</v>
      </c>
    </row>
    <row r="594" spans="1:2" x14ac:dyDescent="0.2">
      <c r="A594" s="2" t="s">
        <v>594</v>
      </c>
      <c r="B594" s="19">
        <v>30.72</v>
      </c>
    </row>
    <row r="595" spans="1:2" x14ac:dyDescent="0.2">
      <c r="A595" s="2" t="s">
        <v>595</v>
      </c>
      <c r="B595" s="19">
        <v>31.96</v>
      </c>
    </row>
    <row r="596" spans="1:2" x14ac:dyDescent="0.2">
      <c r="A596" s="2" t="s">
        <v>596</v>
      </c>
      <c r="B596" s="19">
        <v>33.53</v>
      </c>
    </row>
    <row r="597" spans="1:2" x14ac:dyDescent="0.2">
      <c r="A597" s="2" t="s">
        <v>597</v>
      </c>
      <c r="B597" s="19">
        <v>36.99</v>
      </c>
    </row>
    <row r="598" spans="1:2" x14ac:dyDescent="0.2">
      <c r="A598" s="2" t="s">
        <v>598</v>
      </c>
      <c r="B598" s="19">
        <v>35.14</v>
      </c>
    </row>
    <row r="599" spans="1:2" x14ac:dyDescent="0.2">
      <c r="A599" s="2" t="s">
        <v>599</v>
      </c>
      <c r="B599" s="19">
        <v>36.96</v>
      </c>
    </row>
    <row r="600" spans="1:2" x14ac:dyDescent="0.2">
      <c r="A600" s="2" t="s">
        <v>600</v>
      </c>
      <c r="B600" s="19">
        <v>36.22</v>
      </c>
    </row>
    <row r="601" spans="1:2" x14ac:dyDescent="0.2">
      <c r="A601" s="2" t="s">
        <v>601</v>
      </c>
      <c r="B601" s="19">
        <v>42.19</v>
      </c>
    </row>
    <row r="602" spans="1:2" x14ac:dyDescent="0.2">
      <c r="A602" s="2" t="s">
        <v>602</v>
      </c>
      <c r="B602" s="19">
        <v>42.41</v>
      </c>
    </row>
    <row r="603" spans="1:2" x14ac:dyDescent="0.2">
      <c r="A603" s="2" t="s">
        <v>603</v>
      </c>
      <c r="B603" s="19">
        <v>44.83</v>
      </c>
    </row>
    <row r="604" spans="1:2" x14ac:dyDescent="0.2">
      <c r="A604" s="2" t="s">
        <v>604</v>
      </c>
      <c r="B604" s="19">
        <v>42.46</v>
      </c>
    </row>
    <row r="605" spans="1:2" x14ac:dyDescent="0.2">
      <c r="A605" s="2" t="s">
        <v>605</v>
      </c>
      <c r="B605" s="19">
        <v>40.950000000000003</v>
      </c>
    </row>
    <row r="606" spans="1:2" x14ac:dyDescent="0.2">
      <c r="A606" s="2" t="s">
        <v>606</v>
      </c>
      <c r="B606" s="19">
        <v>46.58</v>
      </c>
    </row>
    <row r="607" spans="1:2" x14ac:dyDescent="0.2">
      <c r="A607" s="2" t="s">
        <v>607</v>
      </c>
      <c r="B607" s="19">
        <v>24.71</v>
      </c>
    </row>
    <row r="608" spans="1:2" x14ac:dyDescent="0.2">
      <c r="A608" s="2" t="s">
        <v>608</v>
      </c>
      <c r="B608" s="19">
        <v>3.34</v>
      </c>
    </row>
    <row r="609" spans="1:2" x14ac:dyDescent="0.2">
      <c r="A609" s="2" t="s">
        <v>609</v>
      </c>
      <c r="B609" s="19">
        <v>1.55</v>
      </c>
    </row>
    <row r="610" spans="1:2" x14ac:dyDescent="0.2">
      <c r="A610" s="2" t="s">
        <v>610</v>
      </c>
      <c r="B610" s="19">
        <v>2.5499999999999998</v>
      </c>
    </row>
    <row r="611" spans="1:2" x14ac:dyDescent="0.2">
      <c r="A611" s="2" t="s">
        <v>611</v>
      </c>
      <c r="B611" s="19">
        <v>2.4700000000000002</v>
      </c>
    </row>
    <row r="612" spans="1:2" x14ac:dyDescent="0.2">
      <c r="A612" s="2" t="s">
        <v>612</v>
      </c>
      <c r="B612" s="19">
        <v>0.56999999999999995</v>
      </c>
    </row>
    <row r="613" spans="1:2" x14ac:dyDescent="0.2">
      <c r="A613" s="2" t="s">
        <v>613</v>
      </c>
      <c r="B613" s="19">
        <v>1.36</v>
      </c>
    </row>
    <row r="614" spans="1:2" x14ac:dyDescent="0.2">
      <c r="A614" s="2" t="s">
        <v>614</v>
      </c>
      <c r="B614" s="19">
        <v>1.1499999999999999</v>
      </c>
    </row>
    <row r="615" spans="1:2" x14ac:dyDescent="0.2">
      <c r="A615" s="2" t="s">
        <v>615</v>
      </c>
      <c r="B615" s="19">
        <v>1.81</v>
      </c>
    </row>
    <row r="616" spans="1:2" x14ac:dyDescent="0.2">
      <c r="A616" s="2" t="s">
        <v>616</v>
      </c>
      <c r="B616" s="19">
        <v>2.2999999999999998</v>
      </c>
    </row>
    <row r="617" spans="1:2" x14ac:dyDescent="0.2">
      <c r="A617" s="2" t="s">
        <v>617</v>
      </c>
      <c r="B617" s="19">
        <v>0.4</v>
      </c>
    </row>
    <row r="618" spans="1:2" x14ac:dyDescent="0.2">
      <c r="A618" s="2" t="s">
        <v>618</v>
      </c>
      <c r="B618" s="19">
        <v>2.62</v>
      </c>
    </row>
    <row r="619" spans="1:2" x14ac:dyDescent="0.2">
      <c r="A619" s="2" t="s">
        <v>619</v>
      </c>
      <c r="B619" s="19">
        <v>2.2400000000000002</v>
      </c>
    </row>
    <row r="620" spans="1:2" x14ac:dyDescent="0.2">
      <c r="A620" s="2" t="s">
        <v>620</v>
      </c>
      <c r="B620" s="19">
        <v>1.29</v>
      </c>
    </row>
    <row r="621" spans="1:2" x14ac:dyDescent="0.2">
      <c r="A621" s="2" t="s">
        <v>621</v>
      </c>
      <c r="B621" s="19">
        <v>-1.08</v>
      </c>
    </row>
    <row r="622" spans="1:2" x14ac:dyDescent="0.2">
      <c r="A622" s="2" t="s">
        <v>622</v>
      </c>
      <c r="B622" s="19">
        <v>0.23</v>
      </c>
    </row>
    <row r="623" spans="1:2" x14ac:dyDescent="0.2">
      <c r="A623" s="2" t="s">
        <v>623</v>
      </c>
      <c r="B623" s="19">
        <v>1.33</v>
      </c>
    </row>
    <row r="624" spans="1:2" x14ac:dyDescent="0.2">
      <c r="A624" s="2" t="s">
        <v>624</v>
      </c>
      <c r="B624" s="19">
        <v>0.27</v>
      </c>
    </row>
    <row r="625" spans="1:2" x14ac:dyDescent="0.2">
      <c r="A625" s="2" t="s">
        <v>625</v>
      </c>
      <c r="B625" s="19">
        <v>1.79</v>
      </c>
    </row>
    <row r="626" spans="1:2" x14ac:dyDescent="0.2">
      <c r="A626" s="2" t="s">
        <v>626</v>
      </c>
      <c r="B626" s="19">
        <v>0.76</v>
      </c>
    </row>
    <row r="627" spans="1:2" x14ac:dyDescent="0.2">
      <c r="A627" s="2" t="s">
        <v>627</v>
      </c>
      <c r="B627" s="19">
        <v>0.22</v>
      </c>
    </row>
    <row r="628" spans="1:2" x14ac:dyDescent="0.2">
      <c r="A628" s="2" t="s">
        <v>628</v>
      </c>
      <c r="B628" s="19">
        <v>0.7</v>
      </c>
    </row>
    <row r="629" spans="1:2" x14ac:dyDescent="0.2">
      <c r="A629" s="2" t="s">
        <v>629</v>
      </c>
      <c r="B629" s="19">
        <v>1.68</v>
      </c>
    </row>
    <row r="630" spans="1:2" x14ac:dyDescent="0.2">
      <c r="A630" s="2" t="s">
        <v>630</v>
      </c>
      <c r="B630" s="19">
        <v>1.22</v>
      </c>
    </row>
    <row r="631" spans="1:2" x14ac:dyDescent="0.2">
      <c r="A631" s="2" t="s">
        <v>631</v>
      </c>
      <c r="B631" s="19">
        <v>1.0900000000000001</v>
      </c>
    </row>
    <row r="632" spans="1:2" x14ac:dyDescent="0.2">
      <c r="A632" s="2" t="s">
        <v>632</v>
      </c>
      <c r="B632" s="19">
        <v>0</v>
      </c>
    </row>
    <row r="633" spans="1:2" x14ac:dyDescent="0.2">
      <c r="A633" s="2" t="s">
        <v>633</v>
      </c>
      <c r="B633" s="19">
        <v>0.13</v>
      </c>
    </row>
    <row r="634" spans="1:2" x14ac:dyDescent="0.2">
      <c r="A634" s="2" t="s">
        <v>634</v>
      </c>
      <c r="B634" s="19">
        <v>0.22</v>
      </c>
    </row>
    <row r="635" spans="1:2" x14ac:dyDescent="0.2">
      <c r="A635" s="2" t="s">
        <v>635</v>
      </c>
      <c r="B635" s="19">
        <v>0.28000000000000003</v>
      </c>
    </row>
    <row r="636" spans="1:2" x14ac:dyDescent="0.2">
      <c r="A636" s="2" t="s">
        <v>636</v>
      </c>
      <c r="B636" s="19">
        <v>0.88</v>
      </c>
    </row>
    <row r="637" spans="1:2" x14ac:dyDescent="0.2">
      <c r="A637" s="2" t="s">
        <v>637</v>
      </c>
      <c r="B637" s="19">
        <v>1.58</v>
      </c>
    </row>
    <row r="638" spans="1:2" x14ac:dyDescent="0.2">
      <c r="A638" s="2" t="s">
        <v>638</v>
      </c>
      <c r="B638" s="19">
        <v>0.42</v>
      </c>
    </row>
    <row r="639" spans="1:2" x14ac:dyDescent="0.2">
      <c r="A639" s="2" t="s">
        <v>639</v>
      </c>
      <c r="B639" s="19">
        <v>1.1599999999999999</v>
      </c>
    </row>
    <row r="640" spans="1:2" x14ac:dyDescent="0.2">
      <c r="A640" s="2" t="s">
        <v>640</v>
      </c>
      <c r="B640" s="19">
        <v>0.59</v>
      </c>
    </row>
    <row r="641" spans="1:2" x14ac:dyDescent="0.2">
      <c r="A641" s="2" t="s">
        <v>641</v>
      </c>
      <c r="B641" s="19">
        <v>0.3</v>
      </c>
    </row>
    <row r="642" spans="1:2" x14ac:dyDescent="0.2">
      <c r="A642" s="2" t="s">
        <v>642</v>
      </c>
      <c r="B642" s="19">
        <v>0.7</v>
      </c>
    </row>
    <row r="643" spans="1:2" x14ac:dyDescent="0.2">
      <c r="A643" s="2" t="s">
        <v>643</v>
      </c>
      <c r="B643" s="19">
        <v>0.09</v>
      </c>
    </row>
    <row r="644" spans="1:2" x14ac:dyDescent="0.2">
      <c r="A644" s="2" t="s">
        <v>644</v>
      </c>
      <c r="B644" s="19">
        <v>-0.04</v>
      </c>
    </row>
    <row r="645" spans="1:2" x14ac:dyDescent="0.2">
      <c r="A645" s="2" t="s">
        <v>645</v>
      </c>
      <c r="B645" s="19">
        <v>0.59</v>
      </c>
    </row>
    <row r="646" spans="1:2" x14ac:dyDescent="0.2">
      <c r="A646" s="2" t="s">
        <v>646</v>
      </c>
      <c r="B646" s="19">
        <v>0.34</v>
      </c>
    </row>
    <row r="647" spans="1:2" x14ac:dyDescent="0.2">
      <c r="A647" s="2" t="s">
        <v>647</v>
      </c>
      <c r="B647" s="19">
        <v>0.83</v>
      </c>
    </row>
    <row r="648" spans="1:2" x14ac:dyDescent="0.2">
      <c r="A648" s="2" t="s">
        <v>648</v>
      </c>
      <c r="B648" s="19">
        <v>0.69</v>
      </c>
    </row>
    <row r="649" spans="1:2" x14ac:dyDescent="0.2">
      <c r="A649" s="2" t="s">
        <v>649</v>
      </c>
      <c r="B649" s="19">
        <v>0.88</v>
      </c>
    </row>
    <row r="650" spans="1:2" x14ac:dyDescent="0.2">
      <c r="A650" s="2" t="s">
        <v>650</v>
      </c>
      <c r="B650" s="19">
        <v>0.02</v>
      </c>
    </row>
    <row r="651" spans="1:2" x14ac:dyDescent="0.2">
      <c r="A651" s="2" t="s">
        <v>651</v>
      </c>
      <c r="B651" s="19">
        <v>0.23</v>
      </c>
    </row>
    <row r="652" spans="1:2" x14ac:dyDescent="0.2">
      <c r="A652" s="2" t="s">
        <v>652</v>
      </c>
      <c r="B652" s="19">
        <v>-0.13</v>
      </c>
    </row>
    <row r="653" spans="1:2" x14ac:dyDescent="0.2">
      <c r="A653" s="2" t="s">
        <v>653</v>
      </c>
      <c r="B653" s="19">
        <v>0.23</v>
      </c>
    </row>
    <row r="654" spans="1:2" x14ac:dyDescent="0.2">
      <c r="A654" s="2" t="s">
        <v>654</v>
      </c>
      <c r="B654" s="19">
        <v>0.28000000000000003</v>
      </c>
    </row>
    <row r="655" spans="1:2" x14ac:dyDescent="0.2">
      <c r="A655" s="2" t="s">
        <v>655</v>
      </c>
      <c r="B655" s="19">
        <v>-0.38</v>
      </c>
    </row>
    <row r="656" spans="1:2" x14ac:dyDescent="0.2">
      <c r="A656" s="2" t="s">
        <v>656</v>
      </c>
      <c r="B656" s="19">
        <v>-0.17</v>
      </c>
    </row>
    <row r="657" spans="1:2" x14ac:dyDescent="0.2">
      <c r="A657" s="2" t="s">
        <v>657</v>
      </c>
      <c r="B657" s="19">
        <v>-0.02</v>
      </c>
    </row>
    <row r="658" spans="1:2" x14ac:dyDescent="0.2">
      <c r="A658" s="2" t="s">
        <v>658</v>
      </c>
      <c r="B658" s="19">
        <v>-0.03</v>
      </c>
    </row>
    <row r="659" spans="1:2" x14ac:dyDescent="0.2">
      <c r="A659" s="2" t="s">
        <v>659</v>
      </c>
      <c r="B659" s="19">
        <v>-0.18</v>
      </c>
    </row>
    <row r="660" spans="1:2" x14ac:dyDescent="0.2">
      <c r="A660" s="2" t="s">
        <v>660</v>
      </c>
      <c r="B660" s="19">
        <v>0.98</v>
      </c>
    </row>
    <row r="661" spans="1:2" x14ac:dyDescent="0.2">
      <c r="A661" s="2" t="s">
        <v>661</v>
      </c>
      <c r="B661" s="19">
        <v>1.1499999999999999</v>
      </c>
    </row>
    <row r="662" spans="1:2" x14ac:dyDescent="0.2">
      <c r="A662" s="2" t="s">
        <v>662</v>
      </c>
      <c r="B662" s="19">
        <v>4.4400000000000004</v>
      </c>
    </row>
    <row r="663" spans="1:2" x14ac:dyDescent="0.2">
      <c r="A663" s="2" t="s">
        <v>663</v>
      </c>
      <c r="B663" s="19">
        <v>1.98</v>
      </c>
    </row>
    <row r="664" spans="1:2" x14ac:dyDescent="0.2">
      <c r="A664" s="2" t="s">
        <v>664</v>
      </c>
      <c r="B664" s="19">
        <v>0.03</v>
      </c>
    </row>
    <row r="665" spans="1:2" x14ac:dyDescent="0.2">
      <c r="A665" s="2" t="s">
        <v>665</v>
      </c>
      <c r="B665" s="19">
        <v>-0.34</v>
      </c>
    </row>
    <row r="666" spans="1:2" x14ac:dyDescent="0.2">
      <c r="A666" s="2" t="s">
        <v>666</v>
      </c>
      <c r="B666" s="19">
        <v>1.02</v>
      </c>
    </row>
    <row r="667" spans="1:2" x14ac:dyDescent="0.2">
      <c r="A667" s="2" t="s">
        <v>667</v>
      </c>
      <c r="B667" s="19">
        <v>1.59</v>
      </c>
    </row>
    <row r="668" spans="1:2" x14ac:dyDescent="0.2">
      <c r="A668" s="2" t="s">
        <v>668</v>
      </c>
      <c r="B668" s="19">
        <v>1.45</v>
      </c>
    </row>
    <row r="669" spans="1:2" x14ac:dyDescent="0.2">
      <c r="A669" s="2" t="s">
        <v>669</v>
      </c>
      <c r="B669" s="19">
        <v>1.47</v>
      </c>
    </row>
    <row r="670" spans="1:2" x14ac:dyDescent="0.2">
      <c r="A670" s="2" t="s">
        <v>670</v>
      </c>
      <c r="B670" s="19">
        <v>1.89</v>
      </c>
    </row>
    <row r="671" spans="1:2" x14ac:dyDescent="0.2">
      <c r="A671" s="2" t="s">
        <v>671</v>
      </c>
      <c r="B671" s="19">
        <v>2.5299999999999998</v>
      </c>
    </row>
    <row r="672" spans="1:2" x14ac:dyDescent="0.2">
      <c r="A672" s="2" t="s">
        <v>672</v>
      </c>
      <c r="B672" s="19">
        <v>1.23</v>
      </c>
    </row>
    <row r="673" spans="1:2" x14ac:dyDescent="0.2">
      <c r="A673" s="2" t="s">
        <v>673</v>
      </c>
      <c r="B673" s="19">
        <v>1.02</v>
      </c>
    </row>
    <row r="674" spans="1:2" x14ac:dyDescent="0.2">
      <c r="A674" s="2" t="s">
        <v>674</v>
      </c>
      <c r="B674" s="19">
        <v>0.19</v>
      </c>
    </row>
    <row r="675" spans="1:2" x14ac:dyDescent="0.2">
      <c r="A675" s="2" t="s">
        <v>675</v>
      </c>
      <c r="B675" s="19">
        <v>0.18</v>
      </c>
    </row>
    <row r="676" spans="1:2" x14ac:dyDescent="0.2">
      <c r="A676" s="2" t="s">
        <v>676</v>
      </c>
      <c r="B676" s="19">
        <v>0.13</v>
      </c>
    </row>
    <row r="677" spans="1:2" x14ac:dyDescent="0.2">
      <c r="A677" s="2" t="s">
        <v>677</v>
      </c>
      <c r="B677" s="19">
        <v>0.67</v>
      </c>
    </row>
    <row r="678" spans="1:2" x14ac:dyDescent="0.2">
      <c r="A678" s="2" t="s">
        <v>678</v>
      </c>
      <c r="B678" s="19">
        <v>0.93</v>
      </c>
    </row>
    <row r="679" spans="1:2" x14ac:dyDescent="0.2">
      <c r="A679" s="2" t="s">
        <v>679</v>
      </c>
      <c r="B679" s="19">
        <v>2.2599999999999998</v>
      </c>
    </row>
    <row r="680" spans="1:2" x14ac:dyDescent="0.2">
      <c r="A680" s="2" t="s">
        <v>680</v>
      </c>
      <c r="B680" s="19">
        <v>1.82</v>
      </c>
    </row>
    <row r="681" spans="1:2" x14ac:dyDescent="0.2">
      <c r="A681" s="2" t="s">
        <v>681</v>
      </c>
      <c r="B681" s="19">
        <v>0.69</v>
      </c>
    </row>
    <row r="682" spans="1:2" x14ac:dyDescent="0.2">
      <c r="A682" s="2" t="s">
        <v>682</v>
      </c>
      <c r="B682" s="19">
        <v>0.37</v>
      </c>
    </row>
    <row r="683" spans="1:2" x14ac:dyDescent="0.2">
      <c r="A683" s="2" t="s">
        <v>683</v>
      </c>
      <c r="B683" s="19">
        <v>0.39</v>
      </c>
    </row>
    <row r="684" spans="1:2" x14ac:dyDescent="0.2">
      <c r="A684" s="2" t="s">
        <v>684</v>
      </c>
      <c r="B684" s="19">
        <v>0.76</v>
      </c>
    </row>
    <row r="685" spans="1:2" x14ac:dyDescent="0.2">
      <c r="A685" s="2" t="s">
        <v>685</v>
      </c>
      <c r="B685" s="19">
        <v>0.49</v>
      </c>
    </row>
    <row r="686" spans="1:2" x14ac:dyDescent="0.2">
      <c r="A686" s="2" t="s">
        <v>686</v>
      </c>
      <c r="B686" s="19">
        <v>0.34</v>
      </c>
    </row>
    <row r="687" spans="1:2" x14ac:dyDescent="0.2">
      <c r="A687" s="2" t="s">
        <v>687</v>
      </c>
      <c r="B687" s="19">
        <v>0.8</v>
      </c>
    </row>
    <row r="688" spans="1:2" x14ac:dyDescent="0.2">
      <c r="A688" s="2" t="s">
        <v>688</v>
      </c>
      <c r="B688" s="19">
        <v>1.1299999999999999</v>
      </c>
    </row>
    <row r="689" spans="1:2" x14ac:dyDescent="0.2">
      <c r="A689" s="2" t="s">
        <v>689</v>
      </c>
      <c r="B689" s="19">
        <v>0.44</v>
      </c>
    </row>
    <row r="690" spans="1:2" x14ac:dyDescent="0.2">
      <c r="A690" s="2" t="s">
        <v>690</v>
      </c>
      <c r="B690" s="19">
        <v>1.46</v>
      </c>
    </row>
    <row r="691" spans="1:2" x14ac:dyDescent="0.2">
      <c r="A691" s="2" t="s">
        <v>691</v>
      </c>
      <c r="B691" s="19">
        <v>1.62</v>
      </c>
    </row>
    <row r="692" spans="1:2" x14ac:dyDescent="0.2">
      <c r="A692" s="2" t="s">
        <v>692</v>
      </c>
      <c r="B692" s="19">
        <v>0.9</v>
      </c>
    </row>
    <row r="693" spans="1:2" x14ac:dyDescent="0.2">
      <c r="A693" s="2" t="s">
        <v>693</v>
      </c>
      <c r="B693" s="19">
        <v>0.38</v>
      </c>
    </row>
    <row r="694" spans="1:2" x14ac:dyDescent="0.2">
      <c r="A694" s="2" t="s">
        <v>694</v>
      </c>
      <c r="B694" s="19">
        <v>1.45</v>
      </c>
    </row>
    <row r="695" spans="1:2" x14ac:dyDescent="0.2">
      <c r="A695" s="2" t="s">
        <v>695</v>
      </c>
      <c r="B695" s="19">
        <v>0.76</v>
      </c>
    </row>
    <row r="696" spans="1:2" x14ac:dyDescent="0.2">
      <c r="A696" s="2" t="s">
        <v>696</v>
      </c>
      <c r="B696" s="19">
        <v>0.18</v>
      </c>
    </row>
    <row r="697" spans="1:2" x14ac:dyDescent="0.2">
      <c r="A697" s="2" t="s">
        <v>697</v>
      </c>
      <c r="B697" s="19">
        <v>0.19</v>
      </c>
    </row>
    <row r="698" spans="1:2" x14ac:dyDescent="0.2">
      <c r="A698" s="2" t="s">
        <v>698</v>
      </c>
      <c r="B698" s="19">
        <v>0.18</v>
      </c>
    </row>
    <row r="699" spans="1:2" x14ac:dyDescent="0.2">
      <c r="A699" s="2" t="s">
        <v>699</v>
      </c>
      <c r="B699" s="19">
        <v>0.11</v>
      </c>
    </row>
    <row r="700" spans="1:2" x14ac:dyDescent="0.2">
      <c r="A700" s="2" t="s">
        <v>700</v>
      </c>
      <c r="B700" s="19">
        <v>0.7</v>
      </c>
    </row>
    <row r="701" spans="1:2" x14ac:dyDescent="0.2">
      <c r="A701" s="2" t="s">
        <v>701</v>
      </c>
      <c r="B701" s="19">
        <v>1.1100000000000001</v>
      </c>
    </row>
    <row r="702" spans="1:2" x14ac:dyDescent="0.2">
      <c r="A702" s="2" t="s">
        <v>702</v>
      </c>
      <c r="B702" s="19">
        <v>1.74</v>
      </c>
    </row>
    <row r="703" spans="1:2" x14ac:dyDescent="0.2">
      <c r="A703" s="2" t="s">
        <v>703</v>
      </c>
      <c r="B703" s="19">
        <v>2.0499999999999998</v>
      </c>
    </row>
    <row r="704" spans="1:2" x14ac:dyDescent="0.2">
      <c r="A704" s="2" t="s">
        <v>704</v>
      </c>
      <c r="B704" s="19">
        <v>2.36</v>
      </c>
    </row>
    <row r="705" spans="1:2" x14ac:dyDescent="0.2">
      <c r="A705" s="2" t="s">
        <v>705</v>
      </c>
      <c r="B705" s="19">
        <v>2.64</v>
      </c>
    </row>
    <row r="706" spans="1:2" x14ac:dyDescent="0.2">
      <c r="A706" s="2" t="s">
        <v>706</v>
      </c>
      <c r="B706" s="19">
        <v>4.21</v>
      </c>
    </row>
    <row r="707" spans="1:2" x14ac:dyDescent="0.2">
      <c r="A707" s="2" t="s">
        <v>707</v>
      </c>
      <c r="B707" s="19">
        <v>5.84</v>
      </c>
    </row>
    <row r="708" spans="1:2" x14ac:dyDescent="0.2">
      <c r="A708" s="2" t="s">
        <v>708</v>
      </c>
      <c r="B708" s="19">
        <v>2.7</v>
      </c>
    </row>
    <row r="709" spans="1:2" x14ac:dyDescent="0.2">
      <c r="A709" s="2" t="s">
        <v>709</v>
      </c>
      <c r="B709" s="19">
        <v>2.17</v>
      </c>
    </row>
    <row r="710" spans="1:2" x14ac:dyDescent="0.2">
      <c r="A710" s="2" t="s">
        <v>710</v>
      </c>
      <c r="B710" s="19">
        <v>1.59</v>
      </c>
    </row>
    <row r="711" spans="1:2" x14ac:dyDescent="0.2">
      <c r="A711" s="2" t="s">
        <v>711</v>
      </c>
      <c r="B711" s="19">
        <v>1.66</v>
      </c>
    </row>
    <row r="712" spans="1:2" x14ac:dyDescent="0.2">
      <c r="A712" s="2" t="s">
        <v>712</v>
      </c>
      <c r="B712" s="19">
        <v>0.41</v>
      </c>
    </row>
    <row r="713" spans="1:2" x14ac:dyDescent="0.2">
      <c r="A713" s="2" t="s">
        <v>713</v>
      </c>
      <c r="B713" s="19">
        <v>-0.67</v>
      </c>
    </row>
    <row r="714" spans="1:2" x14ac:dyDescent="0.2">
      <c r="A714" s="2" t="s">
        <v>714</v>
      </c>
      <c r="B714" s="19">
        <v>-0.7</v>
      </c>
    </row>
    <row r="715" spans="1:2" x14ac:dyDescent="0.2">
      <c r="A715" s="2" t="s">
        <v>715</v>
      </c>
      <c r="B715" s="19">
        <v>-0.2</v>
      </c>
    </row>
    <row r="716" spans="1:2" x14ac:dyDescent="0.2">
      <c r="A716" s="2" t="s">
        <v>716</v>
      </c>
      <c r="B716" s="19">
        <v>0.62</v>
      </c>
    </row>
    <row r="717" spans="1:2" x14ac:dyDescent="0.2">
      <c r="A717" s="2" t="s">
        <v>717</v>
      </c>
      <c r="B717" s="19">
        <v>1.05</v>
      </c>
    </row>
    <row r="718" spans="1:2" x14ac:dyDescent="0.2">
      <c r="A718" s="2" t="s">
        <v>718</v>
      </c>
      <c r="B718" s="19">
        <v>0.44</v>
      </c>
    </row>
    <row r="719" spans="1:2" x14ac:dyDescent="0.2">
      <c r="A719" s="2" t="s">
        <v>719</v>
      </c>
      <c r="B719" s="19">
        <v>0.48</v>
      </c>
    </row>
    <row r="720" spans="1:2" x14ac:dyDescent="0.2">
      <c r="A720" s="2" t="s">
        <v>720</v>
      </c>
      <c r="B720" s="19">
        <v>0.6</v>
      </c>
    </row>
    <row r="721" spans="1:2" x14ac:dyDescent="0.2">
      <c r="A721" s="2" t="s">
        <v>721</v>
      </c>
      <c r="B721" s="19">
        <v>0.8</v>
      </c>
    </row>
    <row r="722" spans="1:2" x14ac:dyDescent="0.2">
      <c r="A722" s="2" t="s">
        <v>722</v>
      </c>
      <c r="B722" s="19">
        <v>1.08</v>
      </c>
    </row>
    <row r="723" spans="1:2" x14ac:dyDescent="0.2">
      <c r="A723" s="2" t="s">
        <v>723</v>
      </c>
      <c r="B723" s="19">
        <v>0.93</v>
      </c>
    </row>
    <row r="724" spans="1:2" x14ac:dyDescent="0.2">
      <c r="A724" s="2" t="s">
        <v>724</v>
      </c>
      <c r="B724" s="19">
        <v>1.1499999999999999</v>
      </c>
    </row>
    <row r="725" spans="1:2" x14ac:dyDescent="0.2">
      <c r="A725" s="2" t="s">
        <v>725</v>
      </c>
      <c r="B725" s="19">
        <v>1.46</v>
      </c>
    </row>
    <row r="726" spans="1:2" x14ac:dyDescent="0.2">
      <c r="A726" s="2" t="s">
        <v>726</v>
      </c>
      <c r="B726" s="19">
        <v>1.29</v>
      </c>
    </row>
    <row r="727" spans="1:2" x14ac:dyDescent="0.2">
      <c r="A727" s="2" t="s">
        <v>727</v>
      </c>
      <c r="B727" s="19">
        <v>1.1399999999999999</v>
      </c>
    </row>
    <row r="728" spans="1:2" x14ac:dyDescent="0.2">
      <c r="A728" s="2" t="s">
        <v>728</v>
      </c>
      <c r="B728" s="19">
        <v>1.31</v>
      </c>
    </row>
    <row r="729" spans="1:2" x14ac:dyDescent="0.2">
      <c r="A729" s="2" t="s">
        <v>729</v>
      </c>
      <c r="B729" s="19">
        <v>0.48</v>
      </c>
    </row>
    <row r="730" spans="1:2" x14ac:dyDescent="0.2">
      <c r="A730" s="2" t="s">
        <v>730</v>
      </c>
      <c r="B730" s="19">
        <v>0.53</v>
      </c>
    </row>
    <row r="731" spans="1:2" x14ac:dyDescent="0.2">
      <c r="A731" s="2" t="s">
        <v>731</v>
      </c>
      <c r="B731" s="19">
        <v>0.82</v>
      </c>
    </row>
    <row r="732" spans="1:2" x14ac:dyDescent="0.2">
      <c r="A732" s="2" t="s">
        <v>732</v>
      </c>
      <c r="B732" s="19">
        <v>0.52</v>
      </c>
    </row>
    <row r="733" spans="1:2" x14ac:dyDescent="0.2">
      <c r="A733" s="2" t="s">
        <v>733</v>
      </c>
      <c r="B733" s="19">
        <v>0.33</v>
      </c>
    </row>
    <row r="734" spans="1:2" x14ac:dyDescent="0.2">
      <c r="A734" s="2" t="s">
        <v>734</v>
      </c>
      <c r="B734" s="19">
        <v>0.4</v>
      </c>
    </row>
    <row r="735" spans="1:2" x14ac:dyDescent="0.2">
      <c r="A735" s="2" t="s">
        <v>735</v>
      </c>
      <c r="B735" s="19">
        <v>0.99</v>
      </c>
    </row>
    <row r="736" spans="1:2" x14ac:dyDescent="0.2">
      <c r="A736" s="2" t="s">
        <v>736</v>
      </c>
      <c r="B736" s="19">
        <v>0.51</v>
      </c>
    </row>
    <row r="737" spans="1:2" x14ac:dyDescent="0.2">
      <c r="A737" s="2" t="s">
        <v>737</v>
      </c>
      <c r="B737" s="19">
        <v>-0.25</v>
      </c>
    </row>
    <row r="738" spans="1:2" x14ac:dyDescent="0.2">
      <c r="A738" s="2" t="s">
        <v>738</v>
      </c>
      <c r="B738" s="19">
        <v>-0.45</v>
      </c>
    </row>
    <row r="739" spans="1:2" x14ac:dyDescent="0.2">
      <c r="A739" s="2" t="s">
        <v>739</v>
      </c>
      <c r="B739" s="19">
        <v>-0.4</v>
      </c>
    </row>
    <row r="740" spans="1:2" x14ac:dyDescent="0.2">
      <c r="A740" s="2" t="s">
        <v>740</v>
      </c>
      <c r="B740" s="19">
        <v>-0.79</v>
      </c>
    </row>
    <row r="741" spans="1:2" x14ac:dyDescent="0.2">
      <c r="A741" s="2" t="s">
        <v>741</v>
      </c>
      <c r="B741" s="19">
        <v>-0.13</v>
      </c>
    </row>
    <row r="742" spans="1:2" x14ac:dyDescent="0.2">
      <c r="A742" s="2" t="s">
        <v>742</v>
      </c>
      <c r="B742" s="19">
        <v>0.63</v>
      </c>
    </row>
    <row r="743" spans="1:2" x14ac:dyDescent="0.2">
      <c r="A743" s="2" t="s">
        <v>743</v>
      </c>
      <c r="B743" s="19">
        <v>0.33</v>
      </c>
    </row>
    <row r="744" spans="1:2" x14ac:dyDescent="0.2">
      <c r="A744" s="2" t="s">
        <v>744</v>
      </c>
      <c r="B744" s="19">
        <v>7.0000000000000007E-2</v>
      </c>
    </row>
    <row r="745" spans="1:2" x14ac:dyDescent="0.2">
      <c r="A745" s="2" t="s">
        <v>745</v>
      </c>
      <c r="B745" s="19">
        <v>0.72</v>
      </c>
    </row>
    <row r="746" spans="1:2" x14ac:dyDescent="0.2">
      <c r="A746" s="2" t="s">
        <v>746</v>
      </c>
      <c r="B746" s="19">
        <v>-0.06</v>
      </c>
    </row>
    <row r="747" spans="1:2" x14ac:dyDescent="0.2">
      <c r="A747" s="2" t="s">
        <v>747</v>
      </c>
      <c r="B747" s="19">
        <v>-0.45</v>
      </c>
    </row>
    <row r="748" spans="1:2" x14ac:dyDescent="0.2">
      <c r="A748" s="2" t="s">
        <v>748</v>
      </c>
      <c r="B748" s="19">
        <v>0.02</v>
      </c>
    </row>
    <row r="749" spans="1:2" x14ac:dyDescent="0.2">
      <c r="A749" s="2" t="s">
        <v>749</v>
      </c>
      <c r="B749" s="19">
        <v>0.38</v>
      </c>
    </row>
    <row r="750" spans="1:2" x14ac:dyDescent="0.2">
      <c r="A750" s="2" t="s">
        <v>750</v>
      </c>
      <c r="B750" s="19">
        <v>0.67</v>
      </c>
    </row>
    <row r="751" spans="1:2" x14ac:dyDescent="0.2">
      <c r="A751" s="2" t="s">
        <v>751</v>
      </c>
      <c r="B751" s="19">
        <v>0.17</v>
      </c>
    </row>
    <row r="752" spans="1:2" x14ac:dyDescent="0.2">
      <c r="A752" s="2" t="s">
        <v>752</v>
      </c>
      <c r="B752" s="19">
        <v>0.41</v>
      </c>
    </row>
    <row r="753" spans="1:2" x14ac:dyDescent="0.2">
      <c r="A753" s="2" t="s">
        <v>753</v>
      </c>
      <c r="B753" s="19">
        <v>0.24</v>
      </c>
    </row>
    <row r="754" spans="1:2" x14ac:dyDescent="0.2">
      <c r="A754" s="2" t="s">
        <v>754</v>
      </c>
      <c r="B754" s="19">
        <v>0.81</v>
      </c>
    </row>
    <row r="755" spans="1:2" x14ac:dyDescent="0.2">
      <c r="A755" s="2" t="s">
        <v>755</v>
      </c>
      <c r="B755" s="19">
        <v>0.56999999999999995</v>
      </c>
    </row>
    <row r="756" spans="1:2" x14ac:dyDescent="0.2">
      <c r="A756" s="2" t="s">
        <v>756</v>
      </c>
      <c r="B756" s="19">
        <v>0.26</v>
      </c>
    </row>
    <row r="757" spans="1:2" x14ac:dyDescent="0.2">
      <c r="A757" s="2" t="s">
        <v>757</v>
      </c>
      <c r="B757" s="19">
        <v>0.43</v>
      </c>
    </row>
    <row r="758" spans="1:2" x14ac:dyDescent="0.2">
      <c r="A758" s="2" t="s">
        <v>758</v>
      </c>
      <c r="B758" s="19">
        <v>0.23</v>
      </c>
    </row>
    <row r="759" spans="1:2" x14ac:dyDescent="0.2">
      <c r="A759" s="2" t="s">
        <v>759</v>
      </c>
      <c r="B759" s="19">
        <v>0.22</v>
      </c>
    </row>
    <row r="760" spans="1:2" x14ac:dyDescent="0.2">
      <c r="A760" s="2" t="s">
        <v>760</v>
      </c>
      <c r="B760" s="19">
        <v>0.14000000000000001</v>
      </c>
    </row>
    <row r="761" spans="1:2" x14ac:dyDescent="0.2">
      <c r="A761" s="2" t="s">
        <v>761</v>
      </c>
      <c r="B761" s="19">
        <v>0.16</v>
      </c>
    </row>
    <row r="762" spans="1:2" x14ac:dyDescent="0.2">
      <c r="A762" s="2" t="s">
        <v>762</v>
      </c>
      <c r="B762" s="19">
        <v>0.26</v>
      </c>
    </row>
    <row r="763" spans="1:2" x14ac:dyDescent="0.2">
      <c r="A763" s="2" t="s">
        <v>763</v>
      </c>
      <c r="B763" s="19">
        <v>0.37</v>
      </c>
    </row>
    <row r="764" spans="1:2" x14ac:dyDescent="0.2">
      <c r="A764" s="2" t="s">
        <v>764</v>
      </c>
      <c r="B764" s="19">
        <v>1.39</v>
      </c>
    </row>
    <row r="765" spans="1:2" x14ac:dyDescent="0.2">
      <c r="A765" s="2" t="s">
        <v>765</v>
      </c>
      <c r="B765" s="19">
        <v>1.17</v>
      </c>
    </row>
    <row r="766" spans="1:2" x14ac:dyDescent="0.2">
      <c r="A766" s="2" t="s">
        <v>766</v>
      </c>
      <c r="B766" s="19">
        <v>0.75</v>
      </c>
    </row>
    <row r="767" spans="1:2" x14ac:dyDescent="0.2">
      <c r="A767" s="2" t="s">
        <v>767</v>
      </c>
      <c r="B767" s="19">
        <v>1.05</v>
      </c>
    </row>
    <row r="768" spans="1:2" x14ac:dyDescent="0.2">
      <c r="A768" s="2" t="s">
        <v>768</v>
      </c>
      <c r="B768" s="19">
        <v>1.47</v>
      </c>
    </row>
    <row r="769" spans="1:2" x14ac:dyDescent="0.2">
      <c r="A769" s="2" t="s">
        <v>769</v>
      </c>
      <c r="B769" s="19">
        <v>0.99</v>
      </c>
    </row>
    <row r="770" spans="1:2" x14ac:dyDescent="0.2">
      <c r="A770" s="2" t="s">
        <v>770</v>
      </c>
      <c r="B770" s="19">
        <v>0.38</v>
      </c>
    </row>
    <row r="771" spans="1:2" x14ac:dyDescent="0.2">
      <c r="A771" s="2" t="s">
        <v>771</v>
      </c>
      <c r="B771" s="19">
        <v>0.7</v>
      </c>
    </row>
    <row r="772" spans="1:2" x14ac:dyDescent="0.2">
      <c r="A772" s="2" t="s">
        <v>772</v>
      </c>
      <c r="B772" s="19">
        <v>1.1200000000000001</v>
      </c>
    </row>
    <row r="773" spans="1:2" x14ac:dyDescent="0.2">
      <c r="A773" s="2" t="s">
        <v>773</v>
      </c>
      <c r="B773" s="19">
        <v>1.88</v>
      </c>
    </row>
    <row r="774" spans="1:2" x14ac:dyDescent="0.2">
      <c r="A774" s="2" t="s">
        <v>774</v>
      </c>
      <c r="B774" s="19">
        <v>1.89</v>
      </c>
    </row>
    <row r="775" spans="1:2" x14ac:dyDescent="0.2">
      <c r="A775" s="2" t="s">
        <v>775</v>
      </c>
      <c r="B775" s="19">
        <v>1.1200000000000001</v>
      </c>
    </row>
    <row r="776" spans="1:2" x14ac:dyDescent="0.2">
      <c r="A776" s="2" t="s">
        <v>776</v>
      </c>
      <c r="B776" s="19">
        <v>-0.38</v>
      </c>
    </row>
    <row r="777" spans="1:2" x14ac:dyDescent="0.2">
      <c r="A777" s="2" t="s">
        <v>777</v>
      </c>
      <c r="B777" s="19">
        <v>0.36</v>
      </c>
    </row>
    <row r="778" spans="1:2" x14ac:dyDescent="0.2">
      <c r="A778" s="2" t="s">
        <v>778</v>
      </c>
      <c r="B778" s="19">
        <v>1.0900000000000001</v>
      </c>
    </row>
    <row r="779" spans="1:2" x14ac:dyDescent="0.2">
      <c r="A779" s="2" t="s">
        <v>779</v>
      </c>
      <c r="B779" s="19">
        <v>7.0000000000000007E-2</v>
      </c>
    </row>
    <row r="780" spans="1:2" x14ac:dyDescent="0.2">
      <c r="A780" s="2" t="s">
        <v>780</v>
      </c>
      <c r="B780" s="19">
        <v>-0.44</v>
      </c>
    </row>
    <row r="781" spans="1:2" x14ac:dyDescent="0.2">
      <c r="A781" s="2" t="s">
        <v>781</v>
      </c>
      <c r="B781" s="19">
        <v>0.01</v>
      </c>
    </row>
    <row r="782" spans="1:2" x14ac:dyDescent="0.2">
      <c r="A782" s="2" t="s">
        <v>782</v>
      </c>
      <c r="B782" s="19">
        <v>-0.13</v>
      </c>
    </row>
    <row r="783" spans="1:2" x14ac:dyDescent="0.2">
      <c r="A783" s="2" t="s">
        <v>783</v>
      </c>
      <c r="B783" s="19">
        <v>-0.84</v>
      </c>
    </row>
    <row r="784" spans="1:2" x14ac:dyDescent="0.2">
      <c r="A784" s="2" t="s">
        <v>784</v>
      </c>
      <c r="B784" s="19">
        <v>0.04</v>
      </c>
    </row>
    <row r="785" spans="1:2" x14ac:dyDescent="0.2">
      <c r="A785" s="2" t="s">
        <v>785</v>
      </c>
      <c r="B785" s="19">
        <v>0.18</v>
      </c>
    </row>
    <row r="786" spans="1:2" x14ac:dyDescent="0.2">
      <c r="A786" s="2" t="s">
        <v>786</v>
      </c>
      <c r="B786" s="19">
        <v>-0.32</v>
      </c>
    </row>
    <row r="787" spans="1:2" x14ac:dyDescent="0.2">
      <c r="A787" s="2" t="s">
        <v>787</v>
      </c>
      <c r="B787" s="19">
        <v>-0.64</v>
      </c>
    </row>
    <row r="788" spans="1:2" x14ac:dyDescent="0.2">
      <c r="A788" s="2" t="s">
        <v>788</v>
      </c>
      <c r="B788" s="19">
        <v>0.09</v>
      </c>
    </row>
    <row r="789" spans="1:2" x14ac:dyDescent="0.2">
      <c r="A789" s="2" t="s">
        <v>789</v>
      </c>
      <c r="B789" s="19">
        <v>0.25</v>
      </c>
    </row>
    <row r="790" spans="1:2" x14ac:dyDescent="0.2">
      <c r="A790" s="2" t="s">
        <v>790</v>
      </c>
      <c r="B790" s="19">
        <v>-0.04</v>
      </c>
    </row>
    <row r="791" spans="1:2" x14ac:dyDescent="0.2">
      <c r="A791" s="2" t="s">
        <v>791</v>
      </c>
      <c r="B791" s="19">
        <v>7.0000000000000007E-2</v>
      </c>
    </row>
    <row r="792" spans="1:2" x14ac:dyDescent="0.2">
      <c r="A792" s="2" t="s">
        <v>792</v>
      </c>
      <c r="B792" s="19">
        <v>-0.11</v>
      </c>
    </row>
    <row r="793" spans="1:2" x14ac:dyDescent="0.2">
      <c r="A793" s="2" t="s">
        <v>793</v>
      </c>
      <c r="B793" s="19">
        <v>1.01</v>
      </c>
    </row>
    <row r="794" spans="1:2" x14ac:dyDescent="0.2">
      <c r="A794" s="2" t="s">
        <v>794</v>
      </c>
      <c r="B794" s="19">
        <v>1.0900000000000001</v>
      </c>
    </row>
    <row r="795" spans="1:2" x14ac:dyDescent="0.2">
      <c r="A795" s="2" t="s">
        <v>795</v>
      </c>
      <c r="B795" s="19">
        <v>0.63</v>
      </c>
    </row>
    <row r="796" spans="1:2" x14ac:dyDescent="0.2">
      <c r="A796" s="2" t="s">
        <v>796</v>
      </c>
      <c r="B796" s="19">
        <v>0.72</v>
      </c>
    </row>
    <row r="797" spans="1:2" x14ac:dyDescent="0.2">
      <c r="A797" s="2" t="s">
        <v>797</v>
      </c>
      <c r="B797" s="19">
        <v>1.57</v>
      </c>
    </row>
    <row r="798" spans="1:2" x14ac:dyDescent="0.2">
      <c r="A798" s="2" t="s">
        <v>798</v>
      </c>
      <c r="B798" s="19">
        <v>0.34</v>
      </c>
    </row>
    <row r="799" spans="1:2" x14ac:dyDescent="0.2">
      <c r="A799" s="2" t="s">
        <v>799</v>
      </c>
      <c r="B799" s="19">
        <v>0.22</v>
      </c>
    </row>
    <row r="800" spans="1:2" x14ac:dyDescent="0.2">
      <c r="A800" s="2" t="s">
        <v>800</v>
      </c>
      <c r="B800" s="19">
        <v>1.1000000000000001</v>
      </c>
    </row>
    <row r="801" spans="1:2" x14ac:dyDescent="0.2">
      <c r="A801" s="2" t="s">
        <v>801</v>
      </c>
      <c r="B801" s="19">
        <v>1.1000000000000001</v>
      </c>
    </row>
    <row r="802" spans="1:2" x14ac:dyDescent="0.2">
      <c r="A802" s="2" t="s">
        <v>802</v>
      </c>
      <c r="B802" s="19">
        <v>1.03</v>
      </c>
    </row>
    <row r="803" spans="1:2" x14ac:dyDescent="0.2">
      <c r="A803" s="2" t="s">
        <v>803</v>
      </c>
      <c r="B803" s="19">
        <v>1.58</v>
      </c>
    </row>
    <row r="804" spans="1:2" x14ac:dyDescent="0.2">
      <c r="A804" s="2" t="s">
        <v>804</v>
      </c>
      <c r="B804" s="19">
        <v>0.38</v>
      </c>
    </row>
    <row r="805" spans="1:2" x14ac:dyDescent="0.2">
      <c r="A805" s="2" t="s">
        <v>805</v>
      </c>
      <c r="B805" s="19">
        <v>0.98</v>
      </c>
    </row>
    <row r="806" spans="1:2" x14ac:dyDescent="0.2">
      <c r="A806" s="2" t="s">
        <v>806</v>
      </c>
      <c r="B806" s="19">
        <v>0.96</v>
      </c>
    </row>
    <row r="807" spans="1:2" x14ac:dyDescent="0.2">
      <c r="A807" s="2" t="s">
        <v>807</v>
      </c>
      <c r="B807" s="19">
        <v>0.61</v>
      </c>
    </row>
    <row r="808" spans="1:2" x14ac:dyDescent="0.2">
      <c r="A808" s="2" t="s">
        <v>808</v>
      </c>
      <c r="B808" s="19">
        <v>0.5</v>
      </c>
    </row>
    <row r="809" spans="1:2" x14ac:dyDescent="0.2">
      <c r="A809" s="2" t="s">
        <v>809</v>
      </c>
      <c r="B809" s="19">
        <v>0.01</v>
      </c>
    </row>
    <row r="810" spans="1:2" x14ac:dyDescent="0.2">
      <c r="A810" s="2" t="s">
        <v>810</v>
      </c>
      <c r="B810" s="19">
        <v>-0.13</v>
      </c>
    </row>
    <row r="811" spans="1:2" x14ac:dyDescent="0.2">
      <c r="A811" s="2" t="s">
        <v>811</v>
      </c>
      <c r="B811" s="19">
        <v>-0.05</v>
      </c>
    </row>
    <row r="812" spans="1:2" x14ac:dyDescent="0.2">
      <c r="A812" s="2" t="s">
        <v>812</v>
      </c>
      <c r="B812" s="19">
        <v>0.61</v>
      </c>
    </row>
    <row r="813" spans="1:2" x14ac:dyDescent="0.2">
      <c r="A813" s="2" t="s">
        <v>813</v>
      </c>
      <c r="B813" s="19">
        <v>0.75</v>
      </c>
    </row>
    <row r="814" spans="1:2" x14ac:dyDescent="0.2">
      <c r="A814" s="2" t="s">
        <v>814</v>
      </c>
      <c r="B814" s="19">
        <v>0.4</v>
      </c>
    </row>
    <row r="815" spans="1:2" x14ac:dyDescent="0.2">
      <c r="A815" s="2" t="s">
        <v>815</v>
      </c>
      <c r="B815" s="19">
        <v>0.43</v>
      </c>
    </row>
    <row r="816" spans="1:2" x14ac:dyDescent="0.2">
      <c r="A816" s="2" t="s">
        <v>816</v>
      </c>
      <c r="B816" s="19">
        <v>-0.16</v>
      </c>
    </row>
    <row r="817" spans="1:2" x14ac:dyDescent="0.2">
      <c r="A817" s="2" t="s">
        <v>817</v>
      </c>
      <c r="B817" s="19">
        <v>0.3</v>
      </c>
    </row>
    <row r="818" spans="1:2" x14ac:dyDescent="0.2">
      <c r="A818" s="2" t="s">
        <v>818</v>
      </c>
      <c r="B818" s="19">
        <v>7.0000000000000007E-2</v>
      </c>
    </row>
    <row r="819" spans="1:2" x14ac:dyDescent="0.2">
      <c r="A819" s="2" t="s">
        <v>819</v>
      </c>
      <c r="B819" s="19">
        <v>0.56000000000000005</v>
      </c>
    </row>
    <row r="820" spans="1:2" x14ac:dyDescent="0.2">
      <c r="A820" s="2" t="s">
        <v>820</v>
      </c>
      <c r="B820" s="19">
        <v>1.02</v>
      </c>
    </row>
    <row r="821" spans="1:2" x14ac:dyDescent="0.2">
      <c r="A821" s="2" t="s">
        <v>821</v>
      </c>
      <c r="B821" s="19">
        <v>0.91</v>
      </c>
    </row>
    <row r="822" spans="1:2" x14ac:dyDescent="0.2">
      <c r="A822" s="2" t="s">
        <v>822</v>
      </c>
      <c r="B822" s="19">
        <v>0.69</v>
      </c>
    </row>
    <row r="823" spans="1:2" x14ac:dyDescent="0.2">
      <c r="A823" s="2" t="s">
        <v>823</v>
      </c>
      <c r="B823" s="19">
        <v>1.52</v>
      </c>
    </row>
    <row r="824" spans="1:2" x14ac:dyDescent="0.2">
      <c r="A824" s="2" t="s">
        <v>824</v>
      </c>
      <c r="B824" s="19">
        <v>1.29</v>
      </c>
    </row>
    <row r="825" spans="1:2" x14ac:dyDescent="0.2">
      <c r="A825" s="2" t="s">
        <v>825</v>
      </c>
      <c r="B825" s="19">
        <v>0.88</v>
      </c>
    </row>
    <row r="826" spans="1:2" x14ac:dyDescent="0.2">
      <c r="A826" s="2" t="s">
        <v>826</v>
      </c>
      <c r="B826" s="19">
        <v>-0.31</v>
      </c>
    </row>
    <row r="827" spans="1:2" x14ac:dyDescent="0.2">
      <c r="A827" s="2" t="s">
        <v>827</v>
      </c>
      <c r="B827" s="19">
        <v>0.25</v>
      </c>
    </row>
    <row r="828" spans="1:2" x14ac:dyDescent="0.2">
      <c r="A828" s="2" t="s">
        <v>828</v>
      </c>
      <c r="B828" s="19">
        <v>0.66</v>
      </c>
    </row>
    <row r="829" spans="1:2" x14ac:dyDescent="0.2">
      <c r="A829" s="2" t="s">
        <v>829</v>
      </c>
      <c r="B829" s="19">
        <v>0.31</v>
      </c>
    </row>
    <row r="830" spans="1:2" x14ac:dyDescent="0.2">
      <c r="A830" s="2" t="s">
        <v>830</v>
      </c>
      <c r="B830" s="19">
        <v>0.2</v>
      </c>
    </row>
    <row r="831" spans="1:2" x14ac:dyDescent="0.2">
      <c r="A831" s="2" t="s">
        <v>831</v>
      </c>
      <c r="B831" s="19">
        <v>0.31</v>
      </c>
    </row>
    <row r="832" spans="1:2" x14ac:dyDescent="0.2">
      <c r="A832" s="2" t="s">
        <v>832</v>
      </c>
      <c r="B832" s="19">
        <v>-0.06</v>
      </c>
    </row>
    <row r="833" spans="1:2" x14ac:dyDescent="0.2">
      <c r="A833" s="2" t="s">
        <v>833</v>
      </c>
      <c r="B833" s="19">
        <v>0.32</v>
      </c>
    </row>
    <row r="834" spans="1:2" x14ac:dyDescent="0.2">
      <c r="A834" s="2" t="s">
        <v>834</v>
      </c>
      <c r="B834" s="19">
        <v>0.76</v>
      </c>
    </row>
    <row r="835" spans="1:2" x14ac:dyDescent="0.2">
      <c r="A835" s="2" t="s">
        <v>835</v>
      </c>
      <c r="B835" s="19">
        <v>0.14000000000000001</v>
      </c>
    </row>
    <row r="836" spans="1:2" x14ac:dyDescent="0.2">
      <c r="A836" s="2" t="s">
        <v>836</v>
      </c>
      <c r="B836" s="19">
        <v>0.46</v>
      </c>
    </row>
    <row r="837" spans="1:2" x14ac:dyDescent="0.2">
      <c r="A837" s="2" t="s">
        <v>837</v>
      </c>
      <c r="B837" s="19">
        <v>1.36</v>
      </c>
    </row>
    <row r="838" spans="1:2" x14ac:dyDescent="0.2">
      <c r="A838" s="2" t="s">
        <v>838</v>
      </c>
      <c r="B838" s="19">
        <v>0.63</v>
      </c>
    </row>
    <row r="839" spans="1:2" x14ac:dyDescent="0.2">
      <c r="A839" s="2" t="s">
        <v>839</v>
      </c>
      <c r="B839" s="19">
        <v>0.28000000000000003</v>
      </c>
    </row>
    <row r="840" spans="1:2" x14ac:dyDescent="0.2">
      <c r="A840" s="2" t="s">
        <v>840</v>
      </c>
      <c r="B840" s="19">
        <v>0.69</v>
      </c>
    </row>
    <row r="841" spans="1:2" x14ac:dyDescent="0.2">
      <c r="A841" s="2" t="s">
        <v>841</v>
      </c>
      <c r="B841" s="19">
        <v>0.4</v>
      </c>
    </row>
    <row r="842" spans="1:2" x14ac:dyDescent="0.2">
      <c r="A842" s="2" t="s">
        <v>842</v>
      </c>
      <c r="B842" s="19">
        <v>0.85</v>
      </c>
    </row>
    <row r="843" spans="1:2" x14ac:dyDescent="0.2">
      <c r="A843" s="2" t="s">
        <v>843</v>
      </c>
      <c r="B843" s="19">
        <v>1.48</v>
      </c>
    </row>
    <row r="844" spans="1:2" x14ac:dyDescent="0.2">
      <c r="A844" s="2" t="s">
        <v>844</v>
      </c>
      <c r="B844" s="19">
        <v>0.45</v>
      </c>
    </row>
    <row r="845" spans="1:2" x14ac:dyDescent="0.2">
      <c r="A845" s="2" t="s">
        <v>845</v>
      </c>
      <c r="B845" s="19">
        <v>-0.45</v>
      </c>
    </row>
    <row r="846" spans="1:2" x14ac:dyDescent="0.2">
      <c r="A846" s="2" t="s">
        <v>846</v>
      </c>
      <c r="B846" s="19">
        <v>-0.63</v>
      </c>
    </row>
    <row r="847" spans="1:2" x14ac:dyDescent="0.2">
      <c r="A847" s="2" t="s">
        <v>847</v>
      </c>
      <c r="B847" s="19">
        <v>-0.55000000000000004</v>
      </c>
    </row>
    <row r="848" spans="1:2" x14ac:dyDescent="0.2">
      <c r="A848" s="2" t="s">
        <v>848</v>
      </c>
      <c r="B848" s="19">
        <v>0.06</v>
      </c>
    </row>
    <row r="849" spans="1:2" x14ac:dyDescent="0.2">
      <c r="A849" s="2" t="s">
        <v>849</v>
      </c>
      <c r="B849" s="19">
        <v>0.02</v>
      </c>
    </row>
    <row r="850" spans="1:2" x14ac:dyDescent="0.2">
      <c r="A850" s="2" t="s">
        <v>850</v>
      </c>
      <c r="B850" s="19">
        <v>0.59</v>
      </c>
    </row>
    <row r="851" spans="1:2" x14ac:dyDescent="0.2">
      <c r="A851" s="2" t="s">
        <v>851</v>
      </c>
      <c r="B851" s="19">
        <v>1.1399999999999999</v>
      </c>
    </row>
    <row r="852" spans="1:2" x14ac:dyDescent="0.2">
      <c r="A852" s="2" t="s">
        <v>852</v>
      </c>
      <c r="B852" s="19">
        <v>0.38</v>
      </c>
    </row>
    <row r="853" spans="1:2" x14ac:dyDescent="0.2">
      <c r="A853" s="2" t="s">
        <v>853</v>
      </c>
      <c r="B853" s="19">
        <v>0.67</v>
      </c>
    </row>
    <row r="854" spans="1:2" x14ac:dyDescent="0.2">
      <c r="A854" s="2" t="s">
        <v>854</v>
      </c>
      <c r="B854" s="19">
        <v>0.53</v>
      </c>
    </row>
    <row r="855" spans="1:2" x14ac:dyDescent="0.2">
      <c r="A855" s="2" t="s">
        <v>855</v>
      </c>
      <c r="B855" s="19">
        <v>1.21</v>
      </c>
    </row>
    <row r="856" spans="1:2" x14ac:dyDescent="0.2">
      <c r="A856" s="2" t="s">
        <v>856</v>
      </c>
      <c r="B856" s="19">
        <v>0.92</v>
      </c>
    </row>
    <row r="857" spans="1:2" x14ac:dyDescent="0.2">
      <c r="A857" s="2" t="s">
        <v>857</v>
      </c>
      <c r="B857" s="19">
        <v>0.4</v>
      </c>
    </row>
    <row r="858" spans="1:2" x14ac:dyDescent="0.2">
      <c r="A858" s="2" t="s">
        <v>858</v>
      </c>
      <c r="B858" s="19">
        <v>0.68</v>
      </c>
    </row>
    <row r="859" spans="1:2" x14ac:dyDescent="0.2">
      <c r="A859" s="2" t="s">
        <v>859</v>
      </c>
      <c r="B859" s="19">
        <v>0.57999999999999996</v>
      </c>
    </row>
    <row r="860" spans="1:2" x14ac:dyDescent="0.2">
      <c r="A860" s="2" t="s">
        <v>860</v>
      </c>
      <c r="B860" s="19">
        <v>0.4</v>
      </c>
    </row>
    <row r="861" spans="1:2" x14ac:dyDescent="0.2">
      <c r="A861" s="2" t="s">
        <v>861</v>
      </c>
      <c r="B861" s="19">
        <v>1.42</v>
      </c>
    </row>
    <row r="862" spans="1:2" x14ac:dyDescent="0.2">
      <c r="A862" s="2" t="s">
        <v>862</v>
      </c>
      <c r="B862" s="19">
        <v>1.76</v>
      </c>
    </row>
    <row r="863" spans="1:2" x14ac:dyDescent="0.2">
      <c r="A863" s="2" t="s">
        <v>863</v>
      </c>
      <c r="B863" s="19">
        <v>1.19</v>
      </c>
    </row>
    <row r="864" spans="1:2" x14ac:dyDescent="0.2">
      <c r="A864" s="2" t="s">
        <v>864</v>
      </c>
      <c r="B864" s="19">
        <v>0.44</v>
      </c>
    </row>
    <row r="865" spans="1:2" x14ac:dyDescent="0.2">
      <c r="A865" s="2" t="s">
        <v>865</v>
      </c>
      <c r="B865" s="19">
        <v>1.53</v>
      </c>
    </row>
    <row r="866" spans="1:2" x14ac:dyDescent="0.2">
      <c r="A866" s="2" t="s">
        <v>866</v>
      </c>
      <c r="B866" s="19">
        <v>0.79</v>
      </c>
    </row>
    <row r="867" spans="1:2" x14ac:dyDescent="0.2">
      <c r="A867" s="2" t="s">
        <v>867</v>
      </c>
      <c r="B867" s="19">
        <v>0.43</v>
      </c>
    </row>
    <row r="868" spans="1:2" x14ac:dyDescent="0.2">
      <c r="A868" s="2" t="s">
        <v>868</v>
      </c>
      <c r="B868" s="19">
        <v>0.36</v>
      </c>
    </row>
    <row r="869" spans="1:2" x14ac:dyDescent="0.2">
      <c r="A869" s="2" t="s">
        <v>869</v>
      </c>
      <c r="B869" s="19">
        <v>1.1299999999999999</v>
      </c>
    </row>
    <row r="870" spans="1:2" x14ac:dyDescent="0.2">
      <c r="A870" s="2" t="s">
        <v>870</v>
      </c>
      <c r="B870" s="19">
        <v>1.63</v>
      </c>
    </row>
    <row r="871" spans="1:2" x14ac:dyDescent="0.2">
      <c r="A871" s="2" t="s">
        <v>871</v>
      </c>
      <c r="B871" s="19">
        <v>-0.39</v>
      </c>
    </row>
    <row r="872" spans="1:2" x14ac:dyDescent="0.2">
      <c r="A872" s="2" t="s">
        <v>872</v>
      </c>
      <c r="B872" s="19">
        <v>0.43</v>
      </c>
    </row>
    <row r="873" spans="1:2" x14ac:dyDescent="0.2">
      <c r="A873" s="2" t="s">
        <v>873</v>
      </c>
      <c r="B873" s="19">
        <v>0.03</v>
      </c>
    </row>
    <row r="874" spans="1:2" x14ac:dyDescent="0.2">
      <c r="A874" s="2" t="s">
        <v>874</v>
      </c>
      <c r="B874" s="19">
        <v>0.13</v>
      </c>
    </row>
    <row r="875" spans="1:2" x14ac:dyDescent="0.2">
      <c r="A875" s="2" t="s">
        <v>875</v>
      </c>
      <c r="B875" s="19">
        <v>0.05</v>
      </c>
    </row>
    <row r="876" spans="1:2" x14ac:dyDescent="0.2">
      <c r="A876" s="2" t="s">
        <v>876</v>
      </c>
      <c r="B876" s="19">
        <v>0.83</v>
      </c>
    </row>
    <row r="877" spans="1:2" x14ac:dyDescent="0.2">
      <c r="A877" s="2" t="s">
        <v>877</v>
      </c>
      <c r="B877" s="19">
        <v>0.43</v>
      </c>
    </row>
    <row r="878" spans="1:2" x14ac:dyDescent="0.2">
      <c r="A878" s="2" t="s">
        <v>878</v>
      </c>
      <c r="B878" s="19">
        <v>0.06</v>
      </c>
    </row>
    <row r="879" spans="1:2" x14ac:dyDescent="0.2">
      <c r="A879" s="2" t="s">
        <v>879</v>
      </c>
      <c r="B879" s="19">
        <v>-0.38</v>
      </c>
    </row>
    <row r="880" spans="1:2" x14ac:dyDescent="0.2">
      <c r="A880" s="2" t="s">
        <v>880</v>
      </c>
      <c r="B880" s="19">
        <v>-1.24</v>
      </c>
    </row>
    <row r="881" spans="1:2" x14ac:dyDescent="0.2">
      <c r="A881" s="2" t="s">
        <v>881</v>
      </c>
      <c r="B881" s="19">
        <v>-0.51</v>
      </c>
    </row>
    <row r="882" spans="1:2" x14ac:dyDescent="0.2">
      <c r="A882" s="2" t="s">
        <v>882</v>
      </c>
      <c r="B882" s="19">
        <v>-0.96</v>
      </c>
    </row>
    <row r="883" spans="1:2" x14ac:dyDescent="0.2">
      <c r="A883" s="2" t="s">
        <v>883</v>
      </c>
      <c r="B883" s="19">
        <v>-0.3</v>
      </c>
    </row>
    <row r="884" spans="1:2" x14ac:dyDescent="0.2">
      <c r="A884" s="2" t="s">
        <v>884</v>
      </c>
      <c r="B884" s="19">
        <v>0.24</v>
      </c>
    </row>
    <row r="885" spans="1:2" x14ac:dyDescent="0.2">
      <c r="A885" s="2" t="s">
        <v>885</v>
      </c>
      <c r="B885" s="19">
        <v>0.62</v>
      </c>
    </row>
    <row r="886" spans="1:2" x14ac:dyDescent="0.2">
      <c r="A886" s="2" t="s">
        <v>886</v>
      </c>
      <c r="B886" s="19">
        <v>0.1</v>
      </c>
    </row>
    <row r="887" spans="1:2" x14ac:dyDescent="0.2">
      <c r="A887" s="2" t="s">
        <v>887</v>
      </c>
      <c r="B887" s="19">
        <v>0.8</v>
      </c>
    </row>
    <row r="888" spans="1:2" x14ac:dyDescent="0.2">
      <c r="A888" s="2" t="s">
        <v>888</v>
      </c>
      <c r="B888" s="19">
        <v>0.74</v>
      </c>
    </row>
    <row r="889" spans="1:2" x14ac:dyDescent="0.2">
      <c r="A889" s="2" t="s">
        <v>889</v>
      </c>
      <c r="B889" s="19">
        <v>0.57999999999999996</v>
      </c>
    </row>
    <row r="890" spans="1:2" x14ac:dyDescent="0.2">
      <c r="A890" s="2" t="s">
        <v>890</v>
      </c>
      <c r="B890" s="19">
        <v>0.15</v>
      </c>
    </row>
    <row r="891" spans="1:2" x14ac:dyDescent="0.2">
      <c r="A891" s="2" t="s">
        <v>891</v>
      </c>
      <c r="B891" s="19">
        <v>0.56000000000000005</v>
      </c>
    </row>
    <row r="892" spans="1:2" x14ac:dyDescent="0.2">
      <c r="A892" s="2" t="s">
        <v>892</v>
      </c>
      <c r="B892" s="19">
        <v>0.93</v>
      </c>
    </row>
    <row r="893" spans="1:2" x14ac:dyDescent="0.2">
      <c r="A893" s="2" t="s">
        <v>893</v>
      </c>
      <c r="B893" s="19">
        <v>1.64</v>
      </c>
    </row>
    <row r="894" spans="1:2" x14ac:dyDescent="0.2">
      <c r="A894" s="2" t="s">
        <v>894</v>
      </c>
      <c r="B894" s="19">
        <v>1.48</v>
      </c>
    </row>
    <row r="895" spans="1:2" x14ac:dyDescent="0.2">
      <c r="A895" s="2" t="s">
        <v>895</v>
      </c>
      <c r="B895" s="19">
        <v>0.44</v>
      </c>
    </row>
    <row r="896" spans="1:2" x14ac:dyDescent="0.2">
      <c r="A896" s="2" t="s">
        <v>896</v>
      </c>
      <c r="B896" s="19">
        <v>0.68</v>
      </c>
    </row>
    <row r="897" spans="1:2" x14ac:dyDescent="0.2">
      <c r="A897" s="2" t="s">
        <v>897</v>
      </c>
      <c r="B897" s="19">
        <v>1.79</v>
      </c>
    </row>
    <row r="898" spans="1:2" x14ac:dyDescent="0.2">
      <c r="A898" s="2" t="s">
        <v>898</v>
      </c>
      <c r="B898" s="19">
        <v>0.26</v>
      </c>
    </row>
    <row r="899" spans="1:2" x14ac:dyDescent="0.2">
      <c r="A899" s="2" t="s">
        <v>899</v>
      </c>
      <c r="B899" s="19">
        <v>-1.1399999999999999</v>
      </c>
    </row>
    <row r="900" spans="1:2" x14ac:dyDescent="0.2">
      <c r="A900" s="2" t="s">
        <v>900</v>
      </c>
      <c r="B900" s="19">
        <v>-0.45</v>
      </c>
    </row>
    <row r="901" spans="1:2" x14ac:dyDescent="0.2">
      <c r="A901" s="2" t="s">
        <v>901</v>
      </c>
      <c r="B901" s="19">
        <v>7.0000000000000007E-2</v>
      </c>
    </row>
    <row r="902" spans="1:2" x14ac:dyDescent="0.2">
      <c r="A902" s="2" t="s">
        <v>902</v>
      </c>
      <c r="B902" s="19">
        <v>1.25</v>
      </c>
    </row>
    <row r="903" spans="1:2" x14ac:dyDescent="0.2">
      <c r="A903" s="2" t="s">
        <v>903</v>
      </c>
      <c r="B903" s="19">
        <v>1.07</v>
      </c>
    </row>
    <row r="904" spans="1:2" x14ac:dyDescent="0.2">
      <c r="A904" s="2" t="s">
        <v>904</v>
      </c>
      <c r="B904" s="19">
        <v>0.9</v>
      </c>
    </row>
    <row r="905" spans="1:2" x14ac:dyDescent="0.2">
      <c r="A905" s="2" t="s">
        <v>905</v>
      </c>
      <c r="B905" s="19">
        <v>0.4</v>
      </c>
    </row>
    <row r="906" spans="1:2" x14ac:dyDescent="0.2">
      <c r="A906" s="2" t="s">
        <v>906</v>
      </c>
      <c r="B906" s="19">
        <v>0.63</v>
      </c>
    </row>
    <row r="907" spans="1:2" x14ac:dyDescent="0.2">
      <c r="A907" s="2" t="s">
        <v>907</v>
      </c>
      <c r="B907" s="19">
        <v>-0.01</v>
      </c>
    </row>
    <row r="908" spans="1:2" x14ac:dyDescent="0.2">
      <c r="A908" s="2" t="s">
        <v>908</v>
      </c>
      <c r="B908" s="19">
        <v>-0.51</v>
      </c>
    </row>
    <row r="909" spans="1:2" x14ac:dyDescent="0.2">
      <c r="A909" s="2" t="s">
        <v>909</v>
      </c>
      <c r="B909" s="19">
        <v>0.5</v>
      </c>
    </row>
    <row r="910" spans="1:2" x14ac:dyDescent="0.2">
      <c r="A910" s="2" t="s">
        <v>910</v>
      </c>
      <c r="B910" s="19">
        <v>0.55000000000000004</v>
      </c>
    </row>
    <row r="911" spans="1:2" x14ac:dyDescent="0.2">
      <c r="A911" s="2" t="s">
        <v>911</v>
      </c>
      <c r="B911" s="19">
        <v>0.85</v>
      </c>
    </row>
    <row r="912" spans="1:2" x14ac:dyDescent="0.2">
      <c r="A912" s="2" t="s">
        <v>912</v>
      </c>
      <c r="B912" s="19">
        <v>1.74</v>
      </c>
    </row>
    <row r="913" spans="1:2" x14ac:dyDescent="0.2">
      <c r="A913" s="2" t="s">
        <v>913</v>
      </c>
      <c r="B913" s="19">
        <v>0.09</v>
      </c>
    </row>
    <row r="914" spans="1:2" x14ac:dyDescent="0.2">
      <c r="A914" s="2" t="s">
        <v>914</v>
      </c>
      <c r="B914" s="19">
        <v>0.01</v>
      </c>
    </row>
    <row r="915" spans="1:2" x14ac:dyDescent="0.2">
      <c r="A915" s="2" t="s">
        <v>915</v>
      </c>
      <c r="B915" s="19">
        <v>1.64</v>
      </c>
    </row>
    <row r="916" spans="1:2" x14ac:dyDescent="0.2">
      <c r="A916" s="2" t="s">
        <v>916</v>
      </c>
      <c r="B916" s="19">
        <v>0.05</v>
      </c>
    </row>
    <row r="917" spans="1:2" x14ac:dyDescent="0.2">
      <c r="A917" s="2" t="s">
        <v>917</v>
      </c>
      <c r="B917" s="19">
        <v>1.07</v>
      </c>
    </row>
    <row r="918" spans="1:2" x14ac:dyDescent="0.2">
      <c r="A918" s="2" t="s">
        <v>918</v>
      </c>
      <c r="B918" s="19">
        <v>1.6</v>
      </c>
    </row>
    <row r="919" spans="1:2" x14ac:dyDescent="0.2">
      <c r="A919" s="2" t="s">
        <v>919</v>
      </c>
      <c r="B919" s="19">
        <v>2.34</v>
      </c>
    </row>
    <row r="920" spans="1:2" x14ac:dyDescent="0.2">
      <c r="A920" s="2" t="s">
        <v>920</v>
      </c>
      <c r="B920" s="19">
        <v>3.87</v>
      </c>
    </row>
    <row r="921" spans="1:2" x14ac:dyDescent="0.2">
      <c r="A921" s="2" t="s">
        <v>921</v>
      </c>
      <c r="B921" s="19">
        <v>3.3</v>
      </c>
    </row>
    <row r="922" spans="1:2" x14ac:dyDescent="0.2">
      <c r="A922" s="2" t="s">
        <v>922</v>
      </c>
      <c r="B922" s="19">
        <v>3.68</v>
      </c>
    </row>
    <row r="923" spans="1:2" x14ac:dyDescent="0.2">
      <c r="A923" s="2" t="s">
        <v>923</v>
      </c>
      <c r="B923" s="19">
        <v>2.64</v>
      </c>
    </row>
    <row r="924" spans="1:2" x14ac:dyDescent="0.2">
      <c r="A924" s="2" t="s">
        <v>924</v>
      </c>
      <c r="B924" s="19">
        <v>0.76</v>
      </c>
    </row>
    <row r="925" spans="1:2" x14ac:dyDescent="0.2">
      <c r="A925" s="2" t="s">
        <v>925</v>
      </c>
      <c r="B925" s="19">
        <v>2.91</v>
      </c>
    </row>
    <row r="926" spans="1:2" x14ac:dyDescent="0.2">
      <c r="A926" s="2" t="s">
        <v>926</v>
      </c>
      <c r="B926" s="19">
        <v>2.71</v>
      </c>
    </row>
    <row r="927" spans="1:2" x14ac:dyDescent="0.2">
      <c r="A927" s="2" t="s">
        <v>927</v>
      </c>
      <c r="B927" s="19">
        <v>2.17</v>
      </c>
    </row>
    <row r="928" spans="1:2" x14ac:dyDescent="0.2">
      <c r="A928" s="2" t="s">
        <v>928</v>
      </c>
      <c r="B928" s="19">
        <v>2.2200000000000002</v>
      </c>
    </row>
    <row r="929" spans="1:2" x14ac:dyDescent="0.2">
      <c r="A929" s="2" t="s">
        <v>929</v>
      </c>
      <c r="B929" s="19">
        <v>3.4</v>
      </c>
    </row>
    <row r="930" spans="1:2" x14ac:dyDescent="0.2">
      <c r="A930" s="2" t="s">
        <v>930</v>
      </c>
      <c r="B930" s="19">
        <v>0.11</v>
      </c>
    </row>
    <row r="931" spans="1:2" x14ac:dyDescent="0.2">
      <c r="A931" s="2" t="s">
        <v>931</v>
      </c>
      <c r="B931" s="19">
        <v>1.45</v>
      </c>
    </row>
    <row r="932" spans="1:2" x14ac:dyDescent="0.2">
      <c r="A932" s="2" t="s">
        <v>932</v>
      </c>
      <c r="B932" s="19">
        <v>-0.14000000000000001</v>
      </c>
    </row>
    <row r="933" spans="1:2" x14ac:dyDescent="0.2">
      <c r="A933" s="2" t="s">
        <v>933</v>
      </c>
      <c r="B933" s="19">
        <v>-0.55000000000000004</v>
      </c>
    </row>
    <row r="934" spans="1:2" x14ac:dyDescent="0.2">
      <c r="A934" s="2" t="s">
        <v>934</v>
      </c>
      <c r="B934" s="19">
        <v>1.6</v>
      </c>
    </row>
    <row r="935" spans="1:2" x14ac:dyDescent="0.2">
      <c r="A935" s="2" t="s">
        <v>935</v>
      </c>
      <c r="B935" s="19">
        <v>-0.57999999999999996</v>
      </c>
    </row>
    <row r="936" spans="1:2" x14ac:dyDescent="0.2">
      <c r="A936" s="2" t="s">
        <v>936</v>
      </c>
      <c r="B936" s="19">
        <v>1.25</v>
      </c>
    </row>
    <row r="937" spans="1:2" x14ac:dyDescent="0.2">
      <c r="A937" s="2" t="s">
        <v>937</v>
      </c>
      <c r="B937" s="19">
        <v>2.0099999999999998</v>
      </c>
    </row>
    <row r="938" spans="1:2" x14ac:dyDescent="0.2">
      <c r="A938" s="2" t="s">
        <v>938</v>
      </c>
      <c r="B938" s="19">
        <v>1.5</v>
      </c>
    </row>
    <row r="939" spans="1:2" x14ac:dyDescent="0.2">
      <c r="A939" s="2" t="s">
        <v>939</v>
      </c>
      <c r="B939" s="19">
        <v>2.37</v>
      </c>
    </row>
    <row r="940" spans="1:2" x14ac:dyDescent="0.2">
      <c r="A940" s="2" t="s">
        <v>940</v>
      </c>
      <c r="B940" s="19">
        <v>0.41</v>
      </c>
    </row>
    <row r="941" spans="1:2" x14ac:dyDescent="0.2">
      <c r="A941" s="2" t="s">
        <v>941</v>
      </c>
      <c r="B941" s="19">
        <v>0.69</v>
      </c>
    </row>
    <row r="942" spans="1:2" x14ac:dyDescent="0.2">
      <c r="A942" s="2" t="s">
        <v>942</v>
      </c>
      <c r="B942" s="19">
        <v>0.62</v>
      </c>
    </row>
    <row r="943" spans="1:2" x14ac:dyDescent="0.2">
      <c r="A943" s="2" t="s">
        <v>943</v>
      </c>
      <c r="B943" s="19">
        <v>-0.38</v>
      </c>
    </row>
    <row r="944" spans="1:2" x14ac:dyDescent="0.2">
      <c r="A944" s="2" t="s">
        <v>944</v>
      </c>
      <c r="B944" s="19">
        <v>-0.55000000000000004</v>
      </c>
    </row>
    <row r="945" spans="1:2" x14ac:dyDescent="0.2">
      <c r="A945" s="2" t="s">
        <v>945</v>
      </c>
      <c r="B945" s="19">
        <v>-1.22</v>
      </c>
    </row>
    <row r="946" spans="1:2" x14ac:dyDescent="0.2">
      <c r="A946" s="2" t="s">
        <v>946</v>
      </c>
      <c r="B946" s="19">
        <v>-0.62</v>
      </c>
    </row>
    <row r="947" spans="1:2" x14ac:dyDescent="0.2">
      <c r="A947" s="2" t="s">
        <v>947</v>
      </c>
      <c r="B947" s="19">
        <v>-0.18</v>
      </c>
    </row>
    <row r="948" spans="1:2" x14ac:dyDescent="0.2">
      <c r="A948" s="2" t="s">
        <v>948</v>
      </c>
      <c r="B948" s="19">
        <v>0.31</v>
      </c>
    </row>
    <row r="949" spans="1:2" x14ac:dyDescent="0.2">
      <c r="A949" s="2" t="s">
        <v>949</v>
      </c>
      <c r="B949" s="19">
        <v>0.06</v>
      </c>
    </row>
    <row r="950" spans="1:2" x14ac:dyDescent="0.2">
      <c r="A950" s="2" t="s">
        <v>950</v>
      </c>
      <c r="B950" s="19">
        <v>0.04</v>
      </c>
    </row>
    <row r="951" spans="1:2" x14ac:dyDescent="0.2">
      <c r="A951" s="2" t="s">
        <v>951</v>
      </c>
      <c r="B951" s="19">
        <v>-0.34</v>
      </c>
    </row>
    <row r="952" spans="1:2" x14ac:dyDescent="0.2">
      <c r="A952" s="2" t="s">
        <v>952</v>
      </c>
      <c r="B952" s="19">
        <v>-1.01</v>
      </c>
    </row>
    <row r="953" spans="1:2" x14ac:dyDescent="0.2">
      <c r="A953" s="2" t="s">
        <v>953</v>
      </c>
      <c r="B953" s="19">
        <v>-2.33</v>
      </c>
    </row>
    <row r="954" spans="1:2" x14ac:dyDescent="0.2">
      <c r="A954" s="2" t="s">
        <v>954</v>
      </c>
      <c r="B954" s="19">
        <v>-1.45</v>
      </c>
    </row>
    <row r="955" spans="1:2" x14ac:dyDescent="0.2">
      <c r="A955" s="2" t="s">
        <v>955</v>
      </c>
      <c r="B955" s="19">
        <v>-0.4</v>
      </c>
    </row>
    <row r="956" spans="1:2" x14ac:dyDescent="0.2">
      <c r="A956" s="2" t="s">
        <v>956</v>
      </c>
      <c r="B956" s="19">
        <v>0.05</v>
      </c>
    </row>
    <row r="957" spans="1:2" x14ac:dyDescent="0.2">
      <c r="A957" s="2" t="s">
        <v>957</v>
      </c>
      <c r="B957" s="19">
        <v>0.45</v>
      </c>
    </row>
    <row r="958" spans="1:2" x14ac:dyDescent="0.2">
      <c r="A958" s="2" t="s">
        <v>958</v>
      </c>
      <c r="B958" s="19">
        <v>0.51</v>
      </c>
    </row>
    <row r="959" spans="1:2" x14ac:dyDescent="0.2">
      <c r="A959" s="2" t="s">
        <v>959</v>
      </c>
      <c r="B959" s="19">
        <v>0.5</v>
      </c>
    </row>
    <row r="960" spans="1:2" x14ac:dyDescent="0.2">
      <c r="A960" s="2" t="s">
        <v>960</v>
      </c>
      <c r="B960" s="19">
        <v>0.64</v>
      </c>
    </row>
    <row r="961" spans="1:2" x14ac:dyDescent="0.2">
      <c r="A961" s="2" t="s">
        <v>961</v>
      </c>
      <c r="B961" s="19">
        <v>-0.27</v>
      </c>
    </row>
    <row r="962" spans="1:2" x14ac:dyDescent="0.2">
      <c r="A962" s="2" t="s">
        <v>962</v>
      </c>
      <c r="B962" s="19">
        <v>-0.41</v>
      </c>
    </row>
    <row r="963" spans="1:2" x14ac:dyDescent="0.2">
      <c r="A963" s="2" t="s">
        <v>963</v>
      </c>
      <c r="B963" s="19">
        <v>-0.3</v>
      </c>
    </row>
    <row r="964" spans="1:2" x14ac:dyDescent="0.2">
      <c r="A964" s="2" t="s">
        <v>964</v>
      </c>
      <c r="B964" s="19">
        <v>0.72</v>
      </c>
    </row>
    <row r="965" spans="1:2" x14ac:dyDescent="0.2">
      <c r="A965" s="2" t="s">
        <v>965</v>
      </c>
      <c r="B965" s="19">
        <v>0.87</v>
      </c>
    </row>
    <row r="966" spans="1:2" x14ac:dyDescent="0.2">
      <c r="A966" s="2" t="s">
        <v>966</v>
      </c>
      <c r="B966" s="19">
        <v>0.5</v>
      </c>
    </row>
    <row r="967" spans="1:2" x14ac:dyDescent="0.2">
      <c r="A967" s="2" t="s">
        <v>967</v>
      </c>
      <c r="B967" s="19">
        <v>0.83</v>
      </c>
    </row>
    <row r="968" spans="1:2" x14ac:dyDescent="0.2">
      <c r="A968" s="2" t="s">
        <v>968</v>
      </c>
      <c r="B968" s="19">
        <v>0.12</v>
      </c>
    </row>
    <row r="969" spans="1:2" x14ac:dyDescent="0.2">
      <c r="A969" s="2" t="s">
        <v>969</v>
      </c>
      <c r="B969" s="19">
        <v>1.03</v>
      </c>
    </row>
    <row r="970" spans="1:2" x14ac:dyDescent="0.2">
      <c r="A970" s="2" t="s">
        <v>970</v>
      </c>
      <c r="B970" s="19">
        <v>1.54</v>
      </c>
    </row>
    <row r="971" spans="1:2" x14ac:dyDescent="0.2">
      <c r="A971" s="2" t="s">
        <v>971</v>
      </c>
      <c r="B971" s="19">
        <v>1.18</v>
      </c>
    </row>
    <row r="972" spans="1:2" x14ac:dyDescent="0.2">
      <c r="A972" s="2" t="s">
        <v>972</v>
      </c>
      <c r="B972" s="19">
        <v>0.87</v>
      </c>
    </row>
    <row r="973" spans="1:2" x14ac:dyDescent="0.2">
      <c r="A973" s="2" t="s">
        <v>973</v>
      </c>
      <c r="B973" s="19">
        <v>0.11</v>
      </c>
    </row>
    <row r="974" spans="1:2" x14ac:dyDescent="0.2">
      <c r="A974" s="2" t="s">
        <v>974</v>
      </c>
      <c r="B974" s="19">
        <v>1</v>
      </c>
    </row>
    <row r="975" spans="1:2" x14ac:dyDescent="0.2">
      <c r="A975" s="2" t="s">
        <v>975</v>
      </c>
      <c r="B975" s="19">
        <v>-0.5</v>
      </c>
    </row>
    <row r="976" spans="1:2" x14ac:dyDescent="0.2">
      <c r="A976" s="2" t="s">
        <v>976</v>
      </c>
      <c r="B976" s="19">
        <v>0.3</v>
      </c>
    </row>
    <row r="977" spans="1:2" x14ac:dyDescent="0.2">
      <c r="A977" s="2" t="s">
        <v>977</v>
      </c>
      <c r="B977" s="19">
        <v>-0.85</v>
      </c>
    </row>
    <row r="978" spans="1:2" x14ac:dyDescent="0.2">
      <c r="A978" s="2" t="s">
        <v>978</v>
      </c>
      <c r="B978" s="19">
        <v>-1.8</v>
      </c>
    </row>
    <row r="979" spans="1:2" x14ac:dyDescent="0.2">
      <c r="A979" s="2" t="s">
        <v>979</v>
      </c>
      <c r="B979" s="19">
        <v>-7.0000000000000007E-2</v>
      </c>
    </row>
    <row r="980" spans="1:2" x14ac:dyDescent="0.2">
      <c r="A980" s="2" t="s">
        <v>980</v>
      </c>
      <c r="B980" s="19">
        <v>0.2</v>
      </c>
    </row>
    <row r="981" spans="1:2" x14ac:dyDescent="0.2">
      <c r="A981" s="2" t="s">
        <v>981</v>
      </c>
      <c r="B981" s="19">
        <v>0.36</v>
      </c>
    </row>
    <row r="982" spans="1:2" x14ac:dyDescent="0.2">
      <c r="A982" s="2" t="s">
        <v>991</v>
      </c>
      <c r="B982" s="19">
        <v>-0.03</v>
      </c>
    </row>
    <row r="983" spans="1:2" x14ac:dyDescent="0.2">
      <c r="A983" s="2" t="s">
        <v>992</v>
      </c>
      <c r="B983" s="19">
        <v>0.01</v>
      </c>
    </row>
    <row r="984" spans="1:2" x14ac:dyDescent="0.2">
      <c r="A984" s="2" t="s">
        <v>993</v>
      </c>
      <c r="B984" s="19">
        <v>0.1</v>
      </c>
    </row>
    <row r="985" spans="1:2" x14ac:dyDescent="0.2">
      <c r="A985" s="2" t="s">
        <v>994</v>
      </c>
      <c r="B985" s="19">
        <v>0.2</v>
      </c>
    </row>
    <row r="986" spans="1:2" x14ac:dyDescent="0.2">
      <c r="A986" s="2" t="s">
        <v>995</v>
      </c>
      <c r="B986" s="19">
        <v>-0.84</v>
      </c>
    </row>
    <row r="987" spans="1:2" x14ac:dyDescent="0.2">
      <c r="A987" s="2" t="s">
        <v>996</v>
      </c>
      <c r="B987" s="19">
        <v>1.1399999999999999</v>
      </c>
    </row>
    <row r="988" spans="1:2" x14ac:dyDescent="0.2">
      <c r="A988" s="2" t="s">
        <v>997</v>
      </c>
      <c r="B988" s="19">
        <v>2.41</v>
      </c>
    </row>
    <row r="989" spans="1:2" x14ac:dyDescent="0.2">
      <c r="A989" s="2" t="s">
        <v>998</v>
      </c>
      <c r="B989" s="19">
        <v>0.87</v>
      </c>
    </row>
    <row r="990" spans="1:2" x14ac:dyDescent="0.2">
      <c r="A990" s="2" t="s">
        <v>999</v>
      </c>
      <c r="B990" s="19">
        <v>-0.79</v>
      </c>
    </row>
    <row r="991" spans="1:2" x14ac:dyDescent="0.2">
      <c r="A991" s="2" t="s">
        <v>1000</v>
      </c>
      <c r="B991" s="19">
        <v>-0.86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59E-D06F-684A-A61A-6F8338D21F75}">
  <dimension ref="A1:B570"/>
  <sheetViews>
    <sheetView workbookViewId="0"/>
  </sheetViews>
  <sheetFormatPr baseColWidth="10" defaultRowHeight="16" x14ac:dyDescent="0.2"/>
  <cols>
    <col min="1" max="1" width="7.6640625" bestFit="1" customWidth="1"/>
    <col min="2" max="2" width="43" style="20" bestFit="1" customWidth="1"/>
  </cols>
  <sheetData>
    <row r="1" spans="1:2" s="20" customFormat="1" ht="84" customHeight="1" x14ac:dyDescent="0.2">
      <c r="A1" s="23" t="s">
        <v>0</v>
      </c>
      <c r="B1" s="21" t="s">
        <v>982</v>
      </c>
    </row>
    <row r="2" spans="1:2" x14ac:dyDescent="0.2">
      <c r="A2" s="2" t="s">
        <v>424</v>
      </c>
      <c r="B2" s="22">
        <v>3.45</v>
      </c>
    </row>
    <row r="3" spans="1:2" x14ac:dyDescent="0.2">
      <c r="A3" s="2" t="s">
        <v>425</v>
      </c>
      <c r="B3" s="22">
        <v>1.76</v>
      </c>
    </row>
    <row r="4" spans="1:2" x14ac:dyDescent="0.2">
      <c r="A4" s="2" t="s">
        <v>426</v>
      </c>
      <c r="B4" s="22">
        <v>3</v>
      </c>
    </row>
    <row r="5" spans="1:2" x14ac:dyDescent="0.2">
      <c r="A5" s="2" t="s">
        <v>427</v>
      </c>
      <c r="B5" s="22">
        <v>5.36</v>
      </c>
    </row>
    <row r="6" spans="1:2" x14ac:dyDescent="0.2">
      <c r="A6" s="2" t="s">
        <v>428</v>
      </c>
      <c r="B6" s="22">
        <v>5.79</v>
      </c>
    </row>
    <row r="7" spans="1:2" x14ac:dyDescent="0.2">
      <c r="A7" s="2" t="s">
        <v>429</v>
      </c>
      <c r="B7" s="22">
        <v>6.61</v>
      </c>
    </row>
    <row r="8" spans="1:2" x14ac:dyDescent="0.2">
      <c r="A8" s="2" t="s">
        <v>430</v>
      </c>
      <c r="B8" s="22">
        <v>5.0599999999999996</v>
      </c>
    </row>
    <row r="9" spans="1:2" x14ac:dyDescent="0.2">
      <c r="A9" s="2" t="s">
        <v>431</v>
      </c>
      <c r="B9" s="22">
        <v>6.1</v>
      </c>
    </row>
    <row r="10" spans="1:2" x14ac:dyDescent="0.2">
      <c r="A10" s="2" t="s">
        <v>432</v>
      </c>
      <c r="B10" s="22">
        <v>4.51</v>
      </c>
    </row>
    <row r="11" spans="1:2" x14ac:dyDescent="0.2">
      <c r="A11" s="2" t="s">
        <v>433</v>
      </c>
      <c r="B11" s="22">
        <v>6.56</v>
      </c>
    </row>
    <row r="12" spans="1:2" x14ac:dyDescent="0.2">
      <c r="A12" s="2" t="s">
        <v>434</v>
      </c>
      <c r="B12" s="22">
        <v>4.1500000000000004</v>
      </c>
    </row>
    <row r="13" spans="1:2" x14ac:dyDescent="0.2">
      <c r="A13" s="2" t="s">
        <v>435</v>
      </c>
      <c r="B13" s="22">
        <v>5.12</v>
      </c>
    </row>
    <row r="14" spans="1:2" x14ac:dyDescent="0.2">
      <c r="A14" s="2" t="s">
        <v>436</v>
      </c>
      <c r="B14" s="22">
        <v>4.8499999999999996</v>
      </c>
    </row>
    <row r="15" spans="1:2" x14ac:dyDescent="0.2">
      <c r="A15" s="2" t="s">
        <v>437</v>
      </c>
      <c r="B15" s="22">
        <v>5.53</v>
      </c>
    </row>
    <row r="16" spans="1:2" x14ac:dyDescent="0.2">
      <c r="A16" s="2" t="s">
        <v>438</v>
      </c>
      <c r="B16" s="22">
        <v>5.52</v>
      </c>
    </row>
    <row r="17" spans="1:2" x14ac:dyDescent="0.2">
      <c r="A17" s="2" t="s">
        <v>439</v>
      </c>
      <c r="B17" s="22">
        <v>5.51</v>
      </c>
    </row>
    <row r="18" spans="1:2" x14ac:dyDescent="0.2">
      <c r="A18" s="2" t="s">
        <v>440</v>
      </c>
      <c r="B18" s="22">
        <v>5.15</v>
      </c>
    </row>
    <row r="19" spans="1:2" x14ac:dyDescent="0.2">
      <c r="A19" s="2" t="s">
        <v>441</v>
      </c>
      <c r="B19" s="22">
        <v>4.45</v>
      </c>
    </row>
    <row r="20" spans="1:2" x14ac:dyDescent="0.2">
      <c r="A20" s="2" t="s">
        <v>442</v>
      </c>
      <c r="B20" s="22">
        <v>9.65</v>
      </c>
    </row>
    <row r="21" spans="1:2" x14ac:dyDescent="0.2">
      <c r="A21" s="2" t="s">
        <v>443</v>
      </c>
      <c r="B21" s="22">
        <v>8.0299999999999994</v>
      </c>
    </row>
    <row r="22" spans="1:2" x14ac:dyDescent="0.2">
      <c r="A22" s="2" t="s">
        <v>444</v>
      </c>
      <c r="B22" s="22">
        <v>6.8</v>
      </c>
    </row>
    <row r="23" spans="1:2" x14ac:dyDescent="0.2">
      <c r="A23" s="2" t="s">
        <v>445</v>
      </c>
      <c r="B23" s="22">
        <v>6.21</v>
      </c>
    </row>
    <row r="24" spans="1:2" x14ac:dyDescent="0.2">
      <c r="A24" s="2" t="s">
        <v>446</v>
      </c>
      <c r="B24" s="22">
        <v>6.05</v>
      </c>
    </row>
    <row r="25" spans="1:2" x14ac:dyDescent="0.2">
      <c r="A25" s="2" t="s">
        <v>447</v>
      </c>
      <c r="B25" s="22">
        <v>5.35</v>
      </c>
    </row>
    <row r="26" spans="1:2" x14ac:dyDescent="0.2">
      <c r="A26" s="2" t="s">
        <v>448</v>
      </c>
      <c r="B26" s="22">
        <v>6.54</v>
      </c>
    </row>
    <row r="27" spans="1:2" x14ac:dyDescent="0.2">
      <c r="A27" s="2" t="s">
        <v>449</v>
      </c>
      <c r="B27" s="22">
        <v>5.51</v>
      </c>
    </row>
    <row r="28" spans="1:2" x14ac:dyDescent="0.2">
      <c r="A28" s="2" t="s">
        <v>450</v>
      </c>
      <c r="B28" s="22">
        <v>5.07</v>
      </c>
    </row>
    <row r="29" spans="1:2" x14ac:dyDescent="0.2">
      <c r="A29" s="2" t="s">
        <v>451</v>
      </c>
      <c r="B29" s="22">
        <v>6.2</v>
      </c>
    </row>
    <row r="30" spans="1:2" x14ac:dyDescent="0.2">
      <c r="A30" s="2" t="s">
        <v>452</v>
      </c>
      <c r="B30" s="22">
        <v>6.12</v>
      </c>
    </row>
    <row r="31" spans="1:2" x14ac:dyDescent="0.2">
      <c r="A31" s="2" t="s">
        <v>453</v>
      </c>
      <c r="B31" s="22">
        <v>5.28</v>
      </c>
    </row>
    <row r="32" spans="1:2" x14ac:dyDescent="0.2">
      <c r="A32" s="2" t="s">
        <v>454</v>
      </c>
      <c r="B32" s="22">
        <v>4.62</v>
      </c>
    </row>
    <row r="33" spans="1:2" x14ac:dyDescent="0.2">
      <c r="A33" s="2" t="s">
        <v>455</v>
      </c>
      <c r="B33" s="22">
        <v>5.23</v>
      </c>
    </row>
    <row r="34" spans="1:2" x14ac:dyDescent="0.2">
      <c r="A34" s="2" t="s">
        <v>456</v>
      </c>
      <c r="B34" s="22">
        <v>5.69</v>
      </c>
    </row>
    <row r="35" spans="1:2" x14ac:dyDescent="0.2">
      <c r="A35" s="2" t="s">
        <v>457</v>
      </c>
      <c r="B35" s="22">
        <v>6.71</v>
      </c>
    </row>
    <row r="36" spans="1:2" x14ac:dyDescent="0.2">
      <c r="A36" s="2" t="s">
        <v>458</v>
      </c>
      <c r="B36" s="22">
        <v>6.58</v>
      </c>
    </row>
    <row r="37" spans="1:2" x14ac:dyDescent="0.2">
      <c r="A37" s="2" t="s">
        <v>459</v>
      </c>
      <c r="B37" s="22">
        <v>5.24</v>
      </c>
    </row>
    <row r="38" spans="1:2" x14ac:dyDescent="0.2">
      <c r="A38" s="2" t="s">
        <v>460</v>
      </c>
      <c r="B38" s="22">
        <v>5.65</v>
      </c>
    </row>
    <row r="39" spans="1:2" x14ac:dyDescent="0.2">
      <c r="A39" s="2" t="s">
        <v>461</v>
      </c>
      <c r="B39" s="22">
        <v>6.66</v>
      </c>
    </row>
    <row r="40" spans="1:2" x14ac:dyDescent="0.2">
      <c r="A40" s="2" t="s">
        <v>462</v>
      </c>
      <c r="B40" s="22">
        <v>7.14</v>
      </c>
    </row>
    <row r="41" spans="1:2" x14ac:dyDescent="0.2">
      <c r="A41" s="2" t="s">
        <v>463</v>
      </c>
      <c r="B41" s="22">
        <v>6.39</v>
      </c>
    </row>
    <row r="42" spans="1:2" x14ac:dyDescent="0.2">
      <c r="A42" s="2" t="s">
        <v>464</v>
      </c>
      <c r="B42" s="22">
        <v>5.57</v>
      </c>
    </row>
    <row r="43" spans="1:2" x14ac:dyDescent="0.2">
      <c r="A43" s="2" t="s">
        <v>465</v>
      </c>
      <c r="B43" s="22">
        <v>4.3</v>
      </c>
    </row>
    <row r="44" spans="1:2" x14ac:dyDescent="0.2">
      <c r="A44" s="2" t="s">
        <v>466</v>
      </c>
      <c r="B44" s="22">
        <v>3.91</v>
      </c>
    </row>
    <row r="45" spans="1:2" x14ac:dyDescent="0.2">
      <c r="A45" s="2" t="s">
        <v>467</v>
      </c>
      <c r="B45" s="22">
        <v>5.26</v>
      </c>
    </row>
    <row r="46" spans="1:2" x14ac:dyDescent="0.2">
      <c r="A46" s="2" t="s">
        <v>468</v>
      </c>
      <c r="B46" s="22">
        <v>8.19</v>
      </c>
    </row>
    <row r="47" spans="1:2" x14ac:dyDescent="0.2">
      <c r="A47" s="2" t="s">
        <v>469</v>
      </c>
      <c r="B47" s="22">
        <v>9.14</v>
      </c>
    </row>
    <row r="48" spans="1:2" x14ac:dyDescent="0.2">
      <c r="A48" s="2" t="s">
        <v>470</v>
      </c>
      <c r="B48" s="22">
        <v>8.0399999999999991</v>
      </c>
    </row>
    <row r="49" spans="1:2" x14ac:dyDescent="0.2">
      <c r="A49" s="2" t="s">
        <v>471</v>
      </c>
      <c r="B49" s="22">
        <v>7.22</v>
      </c>
    </row>
    <row r="50" spans="1:2" x14ac:dyDescent="0.2">
      <c r="A50" s="2" t="s">
        <v>472</v>
      </c>
      <c r="B50" s="22">
        <v>6.57</v>
      </c>
    </row>
    <row r="51" spans="1:2" x14ac:dyDescent="0.2">
      <c r="A51" s="2" t="s">
        <v>473</v>
      </c>
      <c r="B51" s="22">
        <v>6.71</v>
      </c>
    </row>
    <row r="52" spans="1:2" x14ac:dyDescent="0.2">
      <c r="A52" s="2" t="s">
        <v>474</v>
      </c>
      <c r="B52" s="22">
        <v>10.83</v>
      </c>
    </row>
    <row r="53" spans="1:2" x14ac:dyDescent="0.2">
      <c r="A53" s="2" t="s">
        <v>475</v>
      </c>
      <c r="B53" s="22">
        <v>11.43</v>
      </c>
    </row>
    <row r="54" spans="1:2" x14ac:dyDescent="0.2">
      <c r="A54" s="2" t="s">
        <v>476</v>
      </c>
      <c r="B54" s="22">
        <v>9.85</v>
      </c>
    </row>
    <row r="55" spans="1:2" x14ac:dyDescent="0.2">
      <c r="A55" s="2" t="s">
        <v>477</v>
      </c>
      <c r="B55" s="22">
        <v>11.27</v>
      </c>
    </row>
    <row r="56" spans="1:2" x14ac:dyDescent="0.2">
      <c r="A56" s="2" t="s">
        <v>478</v>
      </c>
      <c r="B56" s="22">
        <v>10.1</v>
      </c>
    </row>
    <row r="57" spans="1:2" x14ac:dyDescent="0.2">
      <c r="A57" s="2" t="s">
        <v>479</v>
      </c>
      <c r="B57" s="22">
        <v>7.37</v>
      </c>
    </row>
    <row r="58" spans="1:2" x14ac:dyDescent="0.2">
      <c r="A58" s="2" t="s">
        <v>480</v>
      </c>
      <c r="B58" s="22">
        <v>8.34</v>
      </c>
    </row>
    <row r="59" spans="1:2" x14ac:dyDescent="0.2">
      <c r="A59" s="2" t="s">
        <v>481</v>
      </c>
      <c r="B59" s="22">
        <v>9.39</v>
      </c>
    </row>
    <row r="60" spans="1:2" x14ac:dyDescent="0.2">
      <c r="A60" s="2" t="s">
        <v>482</v>
      </c>
      <c r="B60" s="22">
        <v>9.74</v>
      </c>
    </row>
    <row r="61" spans="1:2" x14ac:dyDescent="0.2">
      <c r="A61" s="2" t="s">
        <v>483</v>
      </c>
      <c r="B61" s="22">
        <v>9.83</v>
      </c>
    </row>
    <row r="62" spans="1:2" x14ac:dyDescent="0.2">
      <c r="A62" s="2" t="s">
        <v>484</v>
      </c>
      <c r="B62" s="22">
        <v>9.52</v>
      </c>
    </row>
    <row r="63" spans="1:2" x14ac:dyDescent="0.2">
      <c r="A63" s="2" t="s">
        <v>485</v>
      </c>
      <c r="B63" s="22">
        <v>8.7100000000000009</v>
      </c>
    </row>
    <row r="64" spans="1:2" x14ac:dyDescent="0.2">
      <c r="A64" s="2" t="s">
        <v>486</v>
      </c>
      <c r="B64" s="22">
        <v>9.9600000000000009</v>
      </c>
    </row>
    <row r="65" spans="1:2" x14ac:dyDescent="0.2">
      <c r="A65" s="2" t="s">
        <v>487</v>
      </c>
      <c r="B65" s="22">
        <v>9.11</v>
      </c>
    </row>
    <row r="66" spans="1:2" x14ac:dyDescent="0.2">
      <c r="A66" s="2" t="s">
        <v>488</v>
      </c>
      <c r="B66" s="22">
        <v>8.57</v>
      </c>
    </row>
    <row r="67" spans="1:2" x14ac:dyDescent="0.2">
      <c r="A67" s="2" t="s">
        <v>489</v>
      </c>
      <c r="B67" s="22">
        <v>11.1</v>
      </c>
    </row>
    <row r="68" spans="1:2" x14ac:dyDescent="0.2">
      <c r="A68" s="2" t="s">
        <v>490</v>
      </c>
      <c r="B68" s="22">
        <v>10.49</v>
      </c>
    </row>
    <row r="69" spans="1:2" x14ac:dyDescent="0.2">
      <c r="A69" s="2" t="s">
        <v>491</v>
      </c>
      <c r="B69" s="22">
        <v>10.33</v>
      </c>
    </row>
    <row r="70" spans="1:2" x14ac:dyDescent="0.2">
      <c r="A70" s="2" t="s">
        <v>492</v>
      </c>
      <c r="B70" s="22">
        <v>11.62</v>
      </c>
    </row>
    <row r="71" spans="1:2" x14ac:dyDescent="0.2">
      <c r="A71" s="2" t="s">
        <v>493</v>
      </c>
      <c r="B71" s="22">
        <v>11.84</v>
      </c>
    </row>
    <row r="72" spans="1:2" x14ac:dyDescent="0.2">
      <c r="A72" s="2" t="s">
        <v>494</v>
      </c>
      <c r="B72" s="22">
        <v>10.95</v>
      </c>
    </row>
    <row r="73" spans="1:2" x14ac:dyDescent="0.2">
      <c r="A73" s="2" t="s">
        <v>495</v>
      </c>
      <c r="B73" s="22">
        <v>9.94</v>
      </c>
    </row>
    <row r="74" spans="1:2" x14ac:dyDescent="0.2">
      <c r="A74" s="2" t="s">
        <v>496</v>
      </c>
      <c r="B74" s="22">
        <v>8.58</v>
      </c>
    </row>
    <row r="75" spans="1:2" x14ac:dyDescent="0.2">
      <c r="A75" s="2" t="s">
        <v>497</v>
      </c>
      <c r="B75" s="22">
        <v>7.2</v>
      </c>
    </row>
    <row r="76" spans="1:2" x14ac:dyDescent="0.2">
      <c r="A76" s="2" t="s">
        <v>498</v>
      </c>
      <c r="B76" s="22">
        <v>8.33</v>
      </c>
    </row>
    <row r="77" spans="1:2" x14ac:dyDescent="0.2">
      <c r="A77" s="2" t="s">
        <v>499</v>
      </c>
      <c r="B77" s="22">
        <v>10.08</v>
      </c>
    </row>
    <row r="78" spans="1:2" x14ac:dyDescent="0.2">
      <c r="A78" s="2" t="s">
        <v>500</v>
      </c>
      <c r="B78" s="22">
        <v>11.61</v>
      </c>
    </row>
    <row r="79" spans="1:2" x14ac:dyDescent="0.2">
      <c r="A79" s="2" t="s">
        <v>501</v>
      </c>
      <c r="B79" s="22">
        <v>10.09</v>
      </c>
    </row>
    <row r="80" spans="1:2" x14ac:dyDescent="0.2">
      <c r="A80" s="2" t="s">
        <v>502</v>
      </c>
      <c r="B80" s="22">
        <v>10.25</v>
      </c>
    </row>
    <row r="81" spans="1:2" x14ac:dyDescent="0.2">
      <c r="A81" s="2" t="s">
        <v>503</v>
      </c>
      <c r="B81" s="22">
        <v>14.18</v>
      </c>
    </row>
    <row r="82" spans="1:2" x14ac:dyDescent="0.2">
      <c r="A82" s="2" t="s">
        <v>504</v>
      </c>
      <c r="B82" s="22">
        <v>15.75</v>
      </c>
    </row>
    <row r="83" spans="1:2" x14ac:dyDescent="0.2">
      <c r="A83" s="2" t="s">
        <v>505</v>
      </c>
      <c r="B83" s="22">
        <v>15.01</v>
      </c>
    </row>
    <row r="84" spans="1:2" x14ac:dyDescent="0.2">
      <c r="A84" s="2" t="s">
        <v>506</v>
      </c>
      <c r="B84" s="22">
        <v>12.46</v>
      </c>
    </row>
    <row r="85" spans="1:2" x14ac:dyDescent="0.2">
      <c r="A85" s="2" t="s">
        <v>507</v>
      </c>
      <c r="B85" s="22">
        <v>3.18</v>
      </c>
    </row>
    <row r="86" spans="1:2" x14ac:dyDescent="0.2">
      <c r="A86" s="2" t="s">
        <v>508</v>
      </c>
      <c r="B86" s="22">
        <v>0.43</v>
      </c>
    </row>
    <row r="87" spans="1:2" x14ac:dyDescent="0.2">
      <c r="A87" s="2" t="s">
        <v>509</v>
      </c>
      <c r="B87" s="22">
        <v>1.08</v>
      </c>
    </row>
    <row r="88" spans="1:2" x14ac:dyDescent="0.2">
      <c r="A88" s="2" t="s">
        <v>510</v>
      </c>
      <c r="B88" s="22">
        <v>0.97</v>
      </c>
    </row>
    <row r="89" spans="1:2" x14ac:dyDescent="0.2">
      <c r="A89" s="2" t="s">
        <v>511</v>
      </c>
      <c r="B89" s="22">
        <v>0.91</v>
      </c>
    </row>
    <row r="90" spans="1:2" x14ac:dyDescent="0.2">
      <c r="A90" s="2" t="s">
        <v>512</v>
      </c>
      <c r="B90" s="22">
        <v>1.43</v>
      </c>
    </row>
    <row r="91" spans="1:2" x14ac:dyDescent="0.2">
      <c r="A91" s="2" t="s">
        <v>513</v>
      </c>
      <c r="B91" s="22">
        <v>1.19</v>
      </c>
    </row>
    <row r="92" spans="1:2" x14ac:dyDescent="0.2">
      <c r="A92" s="2" t="s">
        <v>514</v>
      </c>
      <c r="B92" s="22">
        <v>1.43</v>
      </c>
    </row>
    <row r="93" spans="1:2" x14ac:dyDescent="0.2">
      <c r="A93" s="2" t="s">
        <v>515</v>
      </c>
      <c r="B93" s="22">
        <v>3.29</v>
      </c>
    </row>
    <row r="94" spans="1:2" x14ac:dyDescent="0.2">
      <c r="A94" s="2" t="s">
        <v>516</v>
      </c>
      <c r="B94" s="22">
        <v>7.27</v>
      </c>
    </row>
    <row r="95" spans="1:2" x14ac:dyDescent="0.2">
      <c r="A95" s="2" t="s">
        <v>517</v>
      </c>
      <c r="B95" s="22">
        <v>16.82</v>
      </c>
    </row>
    <row r="96" spans="1:2" x14ac:dyDescent="0.2">
      <c r="A96" s="2" t="s">
        <v>518</v>
      </c>
      <c r="B96" s="22">
        <v>13.94</v>
      </c>
    </row>
    <row r="97" spans="1:2" x14ac:dyDescent="0.2">
      <c r="A97" s="2" t="s">
        <v>519</v>
      </c>
      <c r="B97" s="22">
        <v>14.4</v>
      </c>
    </row>
    <row r="98" spans="1:2" x14ac:dyDescent="0.2">
      <c r="A98" s="2" t="s">
        <v>520</v>
      </c>
      <c r="B98" s="22">
        <v>20.96</v>
      </c>
    </row>
    <row r="99" spans="1:2" x14ac:dyDescent="0.2">
      <c r="A99" s="2" t="s">
        <v>521</v>
      </c>
      <c r="B99" s="22">
        <v>23.14</v>
      </c>
    </row>
    <row r="100" spans="1:2" x14ac:dyDescent="0.2">
      <c r="A100" s="2" t="s">
        <v>522</v>
      </c>
      <c r="B100" s="22">
        <v>21.3</v>
      </c>
    </row>
    <row r="101" spans="1:2" x14ac:dyDescent="0.2">
      <c r="A101" s="2" t="s">
        <v>523</v>
      </c>
      <c r="B101" s="22">
        <v>9.93</v>
      </c>
    </row>
    <row r="102" spans="1:2" x14ac:dyDescent="0.2">
      <c r="A102" s="2" t="s">
        <v>524</v>
      </c>
      <c r="B102" s="22">
        <v>5.09</v>
      </c>
    </row>
    <row r="103" spans="1:2" x14ac:dyDescent="0.2">
      <c r="A103" s="2" t="s">
        <v>525</v>
      </c>
      <c r="B103" s="22">
        <v>7.15</v>
      </c>
    </row>
    <row r="104" spans="1:2" x14ac:dyDescent="0.2">
      <c r="A104" s="2" t="s">
        <v>526</v>
      </c>
      <c r="B104" s="22">
        <v>10.88</v>
      </c>
    </row>
    <row r="105" spans="1:2" x14ac:dyDescent="0.2">
      <c r="A105" s="2" t="s">
        <v>527</v>
      </c>
      <c r="B105" s="22">
        <v>14.93</v>
      </c>
    </row>
    <row r="106" spans="1:2" x14ac:dyDescent="0.2">
      <c r="A106" s="2" t="s">
        <v>528</v>
      </c>
      <c r="B106" s="22">
        <v>13.97</v>
      </c>
    </row>
    <row r="107" spans="1:2" x14ac:dyDescent="0.2">
      <c r="A107" s="2" t="s">
        <v>529</v>
      </c>
      <c r="B107" s="22">
        <v>18.97</v>
      </c>
    </row>
    <row r="108" spans="1:2" x14ac:dyDescent="0.2">
      <c r="A108" s="2" t="s">
        <v>530</v>
      </c>
      <c r="B108" s="22">
        <v>15.81</v>
      </c>
    </row>
    <row r="109" spans="1:2" x14ac:dyDescent="0.2">
      <c r="A109" s="2" t="s">
        <v>531</v>
      </c>
      <c r="B109" s="22">
        <v>18.09</v>
      </c>
    </row>
    <row r="110" spans="1:2" x14ac:dyDescent="0.2">
      <c r="A110" s="2" t="s">
        <v>532</v>
      </c>
      <c r="B110" s="22">
        <v>18.329999999999998</v>
      </c>
    </row>
    <row r="111" spans="1:2" x14ac:dyDescent="0.2">
      <c r="A111" s="2" t="s">
        <v>533</v>
      </c>
      <c r="B111" s="22">
        <v>18.239999999999998</v>
      </c>
    </row>
    <row r="112" spans="1:2" x14ac:dyDescent="0.2">
      <c r="A112" s="2" t="s">
        <v>534</v>
      </c>
      <c r="B112" s="22">
        <v>22.28</v>
      </c>
    </row>
    <row r="113" spans="1:2" x14ac:dyDescent="0.2">
      <c r="A113" s="2" t="s">
        <v>535</v>
      </c>
      <c r="B113" s="22">
        <v>23.02</v>
      </c>
    </row>
    <row r="114" spans="1:2" x14ac:dyDescent="0.2">
      <c r="A114" s="2" t="s">
        <v>536</v>
      </c>
      <c r="B114" s="22">
        <v>20.63</v>
      </c>
    </row>
    <row r="115" spans="1:2" x14ac:dyDescent="0.2">
      <c r="A115" s="2" t="s">
        <v>537</v>
      </c>
      <c r="B115" s="22">
        <v>26.93</v>
      </c>
    </row>
    <row r="116" spans="1:2" x14ac:dyDescent="0.2">
      <c r="A116" s="2" t="s">
        <v>538</v>
      </c>
      <c r="B116" s="22">
        <v>26.69</v>
      </c>
    </row>
    <row r="117" spans="1:2" x14ac:dyDescent="0.2">
      <c r="A117" s="2" t="s">
        <v>539</v>
      </c>
      <c r="B117" s="22">
        <v>28.15</v>
      </c>
    </row>
    <row r="118" spans="1:2" x14ac:dyDescent="0.2">
      <c r="A118" s="2" t="s">
        <v>540</v>
      </c>
      <c r="B118" s="22">
        <v>28.43</v>
      </c>
    </row>
    <row r="119" spans="1:2" x14ac:dyDescent="0.2">
      <c r="A119" s="2" t="s">
        <v>541</v>
      </c>
      <c r="B119" s="22">
        <v>35.479999999999997</v>
      </c>
    </row>
    <row r="120" spans="1:2" x14ac:dyDescent="0.2">
      <c r="A120" s="2" t="s">
        <v>542</v>
      </c>
      <c r="B120" s="22">
        <v>16.350000000000001</v>
      </c>
    </row>
    <row r="121" spans="1:2" x14ac:dyDescent="0.2">
      <c r="A121" s="2" t="s">
        <v>543</v>
      </c>
      <c r="B121" s="22">
        <v>5.9</v>
      </c>
    </row>
    <row r="122" spans="1:2" x14ac:dyDescent="0.2">
      <c r="A122" s="2" t="s">
        <v>544</v>
      </c>
      <c r="B122" s="22">
        <v>8.06</v>
      </c>
    </row>
    <row r="123" spans="1:2" x14ac:dyDescent="0.2">
      <c r="A123" s="2" t="s">
        <v>545</v>
      </c>
      <c r="B123" s="22">
        <v>16.670000000000002</v>
      </c>
    </row>
    <row r="124" spans="1:2" x14ac:dyDescent="0.2">
      <c r="A124" s="2" t="s">
        <v>546</v>
      </c>
      <c r="B124" s="22">
        <v>29.4</v>
      </c>
    </row>
    <row r="125" spans="1:2" x14ac:dyDescent="0.2">
      <c r="A125" s="2" t="s">
        <v>547</v>
      </c>
      <c r="B125" s="22">
        <v>27.4</v>
      </c>
    </row>
    <row r="126" spans="1:2" x14ac:dyDescent="0.2">
      <c r="A126" s="2" t="s">
        <v>548</v>
      </c>
      <c r="B126" s="22">
        <v>33.18</v>
      </c>
    </row>
    <row r="127" spans="1:2" x14ac:dyDescent="0.2">
      <c r="A127" s="2" t="s">
        <v>549</v>
      </c>
      <c r="B127" s="22">
        <v>36.35</v>
      </c>
    </row>
    <row r="128" spans="1:2" x14ac:dyDescent="0.2">
      <c r="A128" s="2" t="s">
        <v>550</v>
      </c>
      <c r="B128" s="22">
        <v>38.76</v>
      </c>
    </row>
    <row r="129" spans="1:2" x14ac:dyDescent="0.2">
      <c r="A129" s="2" t="s">
        <v>551</v>
      </c>
      <c r="B129" s="22">
        <v>48.47</v>
      </c>
    </row>
    <row r="130" spans="1:2" x14ac:dyDescent="0.2">
      <c r="A130" s="2" t="s">
        <v>552</v>
      </c>
      <c r="B130" s="22">
        <v>51.28</v>
      </c>
    </row>
    <row r="131" spans="1:2" x14ac:dyDescent="0.2">
      <c r="A131" s="2" t="s">
        <v>553</v>
      </c>
      <c r="B131" s="22">
        <v>68.19</v>
      </c>
    </row>
    <row r="132" spans="1:2" x14ac:dyDescent="0.2">
      <c r="A132" s="2" t="s">
        <v>554</v>
      </c>
      <c r="B132" s="22">
        <v>73.989999999999995</v>
      </c>
    </row>
    <row r="133" spans="1:2" x14ac:dyDescent="0.2">
      <c r="A133" s="2" t="s">
        <v>555</v>
      </c>
      <c r="B133" s="22">
        <v>82.18</v>
      </c>
    </row>
    <row r="134" spans="1:2" x14ac:dyDescent="0.2">
      <c r="A134" s="2" t="s">
        <v>556</v>
      </c>
      <c r="B134" s="22">
        <v>14.67</v>
      </c>
    </row>
    <row r="135" spans="1:2" x14ac:dyDescent="0.2">
      <c r="A135" s="2" t="s">
        <v>557</v>
      </c>
      <c r="B135" s="22">
        <v>7.31</v>
      </c>
    </row>
    <row r="136" spans="1:2" x14ac:dyDescent="0.2">
      <c r="A136" s="2" t="s">
        <v>558</v>
      </c>
      <c r="B136" s="22">
        <v>11.64</v>
      </c>
    </row>
    <row r="137" spans="1:2" x14ac:dyDescent="0.2">
      <c r="A137" s="2" t="s">
        <v>559</v>
      </c>
      <c r="B137" s="22">
        <v>12.62</v>
      </c>
    </row>
    <row r="138" spans="1:2" x14ac:dyDescent="0.2">
      <c r="A138" s="2" t="s">
        <v>560</v>
      </c>
      <c r="B138" s="22">
        <v>12.18</v>
      </c>
    </row>
    <row r="139" spans="1:2" x14ac:dyDescent="0.2">
      <c r="A139" s="2" t="s">
        <v>561</v>
      </c>
      <c r="B139" s="22">
        <v>14.26</v>
      </c>
    </row>
    <row r="140" spans="1:2" x14ac:dyDescent="0.2">
      <c r="A140" s="2" t="s">
        <v>562</v>
      </c>
      <c r="B140" s="22">
        <v>14.43</v>
      </c>
    </row>
    <row r="141" spans="1:2" x14ac:dyDescent="0.2">
      <c r="A141" s="2" t="s">
        <v>563</v>
      </c>
      <c r="B141" s="22">
        <v>16.920000000000002</v>
      </c>
    </row>
    <row r="142" spans="1:2" x14ac:dyDescent="0.2">
      <c r="A142" s="2" t="s">
        <v>564</v>
      </c>
      <c r="B142" s="22">
        <v>19.14</v>
      </c>
    </row>
    <row r="143" spans="1:2" x14ac:dyDescent="0.2">
      <c r="A143" s="2" t="s">
        <v>565</v>
      </c>
      <c r="B143" s="22">
        <v>20.95</v>
      </c>
    </row>
    <row r="144" spans="1:2" x14ac:dyDescent="0.2">
      <c r="A144" s="2" t="s">
        <v>566</v>
      </c>
      <c r="B144" s="22">
        <v>20.2</v>
      </c>
    </row>
    <row r="145" spans="1:2" x14ac:dyDescent="0.2">
      <c r="A145" s="2" t="s">
        <v>567</v>
      </c>
      <c r="B145" s="22">
        <v>11.79</v>
      </c>
    </row>
    <row r="146" spans="1:2" x14ac:dyDescent="0.2">
      <c r="A146" s="2" t="s">
        <v>568</v>
      </c>
      <c r="B146" s="22">
        <v>5.01</v>
      </c>
    </row>
    <row r="147" spans="1:2" x14ac:dyDescent="0.2">
      <c r="A147" s="2" t="s">
        <v>569</v>
      </c>
      <c r="B147" s="22">
        <v>6.68</v>
      </c>
    </row>
    <row r="148" spans="1:2" x14ac:dyDescent="0.2">
      <c r="A148" s="2" t="s">
        <v>570</v>
      </c>
      <c r="B148" s="22">
        <v>10.83</v>
      </c>
    </row>
    <row r="149" spans="1:2" x14ac:dyDescent="0.2">
      <c r="A149" s="2" t="s">
        <v>571</v>
      </c>
      <c r="B149" s="22">
        <v>12.14</v>
      </c>
    </row>
    <row r="150" spans="1:2" x14ac:dyDescent="0.2">
      <c r="A150" s="2" t="s">
        <v>572</v>
      </c>
      <c r="B150" s="22">
        <v>15.62</v>
      </c>
    </row>
    <row r="151" spans="1:2" x14ac:dyDescent="0.2">
      <c r="A151" s="2" t="s">
        <v>573</v>
      </c>
      <c r="B151" s="22">
        <v>15.62</v>
      </c>
    </row>
    <row r="152" spans="1:2" x14ac:dyDescent="0.2">
      <c r="A152" s="2" t="s">
        <v>574</v>
      </c>
      <c r="B152" s="22">
        <v>21.08</v>
      </c>
    </row>
    <row r="153" spans="1:2" x14ac:dyDescent="0.2">
      <c r="A153" s="2" t="s">
        <v>575</v>
      </c>
      <c r="B153" s="22">
        <v>26.48</v>
      </c>
    </row>
    <row r="154" spans="1:2" x14ac:dyDescent="0.2">
      <c r="A154" s="2" t="s">
        <v>576</v>
      </c>
      <c r="B154" s="22">
        <v>24.15</v>
      </c>
    </row>
    <row r="155" spans="1:2" x14ac:dyDescent="0.2">
      <c r="A155" s="2" t="s">
        <v>577</v>
      </c>
      <c r="B155" s="22">
        <v>25.92</v>
      </c>
    </row>
    <row r="156" spans="1:2" x14ac:dyDescent="0.2">
      <c r="A156" s="2" t="s">
        <v>578</v>
      </c>
      <c r="B156" s="22">
        <v>24.48</v>
      </c>
    </row>
    <row r="157" spans="1:2" x14ac:dyDescent="0.2">
      <c r="A157" s="2" t="s">
        <v>579</v>
      </c>
      <c r="B157" s="22">
        <v>21.62</v>
      </c>
    </row>
    <row r="158" spans="1:2" x14ac:dyDescent="0.2">
      <c r="A158" s="2" t="s">
        <v>580</v>
      </c>
      <c r="B158" s="22">
        <v>20.84</v>
      </c>
    </row>
    <row r="159" spans="1:2" x14ac:dyDescent="0.2">
      <c r="A159" s="2" t="s">
        <v>581</v>
      </c>
      <c r="B159" s="22">
        <v>24.5</v>
      </c>
    </row>
    <row r="160" spans="1:2" x14ac:dyDescent="0.2">
      <c r="A160" s="2" t="s">
        <v>582</v>
      </c>
      <c r="B160" s="22">
        <v>20.85</v>
      </c>
    </row>
    <row r="161" spans="1:2" x14ac:dyDescent="0.2">
      <c r="A161" s="2" t="s">
        <v>583</v>
      </c>
      <c r="B161" s="22">
        <v>22.08</v>
      </c>
    </row>
    <row r="162" spans="1:2" x14ac:dyDescent="0.2">
      <c r="A162" s="2" t="s">
        <v>584</v>
      </c>
      <c r="B162" s="22">
        <v>22.38</v>
      </c>
    </row>
    <row r="163" spans="1:2" x14ac:dyDescent="0.2">
      <c r="A163" s="2" t="s">
        <v>585</v>
      </c>
      <c r="B163" s="22">
        <v>23.98</v>
      </c>
    </row>
    <row r="164" spans="1:2" x14ac:dyDescent="0.2">
      <c r="A164" s="2" t="s">
        <v>586</v>
      </c>
      <c r="B164" s="22">
        <v>26.07</v>
      </c>
    </row>
    <row r="165" spans="1:2" x14ac:dyDescent="0.2">
      <c r="A165" s="2" t="s">
        <v>587</v>
      </c>
      <c r="B165" s="22">
        <v>22.89</v>
      </c>
    </row>
    <row r="166" spans="1:2" x14ac:dyDescent="0.2">
      <c r="A166" s="2" t="s">
        <v>588</v>
      </c>
      <c r="B166" s="22">
        <v>25.58</v>
      </c>
    </row>
    <row r="167" spans="1:2" x14ac:dyDescent="0.2">
      <c r="A167" s="2" t="s">
        <v>589</v>
      </c>
      <c r="B167" s="22">
        <v>28.77</v>
      </c>
    </row>
    <row r="168" spans="1:2" x14ac:dyDescent="0.2">
      <c r="A168" s="2" t="s">
        <v>590</v>
      </c>
      <c r="B168" s="22">
        <v>24.79</v>
      </c>
    </row>
    <row r="169" spans="1:2" x14ac:dyDescent="0.2">
      <c r="A169" s="2" t="s">
        <v>591</v>
      </c>
      <c r="B169" s="22">
        <v>27.58</v>
      </c>
    </row>
    <row r="170" spans="1:2" x14ac:dyDescent="0.2">
      <c r="A170" s="2" t="s">
        <v>592</v>
      </c>
      <c r="B170" s="22">
        <v>28.37</v>
      </c>
    </row>
    <row r="171" spans="1:2" x14ac:dyDescent="0.2">
      <c r="A171" s="2" t="s">
        <v>593</v>
      </c>
      <c r="B171" s="22">
        <v>26.78</v>
      </c>
    </row>
    <row r="172" spans="1:2" x14ac:dyDescent="0.2">
      <c r="A172" s="2" t="s">
        <v>594</v>
      </c>
      <c r="B172" s="22">
        <v>30.37</v>
      </c>
    </row>
    <row r="173" spans="1:2" x14ac:dyDescent="0.2">
      <c r="A173" s="2" t="s">
        <v>595</v>
      </c>
      <c r="B173" s="22">
        <v>31.01</v>
      </c>
    </row>
    <row r="174" spans="1:2" x14ac:dyDescent="0.2">
      <c r="A174" s="2" t="s">
        <v>596</v>
      </c>
      <c r="B174" s="22">
        <v>33.340000000000003</v>
      </c>
    </row>
    <row r="175" spans="1:2" x14ac:dyDescent="0.2">
      <c r="A175" s="2" t="s">
        <v>597</v>
      </c>
      <c r="B175" s="22">
        <v>35.630000000000003</v>
      </c>
    </row>
    <row r="176" spans="1:2" x14ac:dyDescent="0.2">
      <c r="A176" s="2" t="s">
        <v>598</v>
      </c>
      <c r="B176" s="22">
        <v>34.119999999999997</v>
      </c>
    </row>
    <row r="177" spans="1:2" x14ac:dyDescent="0.2">
      <c r="A177" s="2" t="s">
        <v>599</v>
      </c>
      <c r="B177" s="22">
        <v>36</v>
      </c>
    </row>
    <row r="178" spans="1:2" x14ac:dyDescent="0.2">
      <c r="A178" s="2" t="s">
        <v>600</v>
      </c>
      <c r="B178" s="22">
        <v>37.729999999999997</v>
      </c>
    </row>
    <row r="179" spans="1:2" x14ac:dyDescent="0.2">
      <c r="A179" s="2" t="s">
        <v>601</v>
      </c>
      <c r="B179" s="22">
        <v>41.32</v>
      </c>
    </row>
    <row r="180" spans="1:2" x14ac:dyDescent="0.2">
      <c r="A180" s="2" t="s">
        <v>602</v>
      </c>
      <c r="B180" s="22">
        <v>40.57</v>
      </c>
    </row>
    <row r="181" spans="1:2" x14ac:dyDescent="0.2">
      <c r="A181" s="2" t="s">
        <v>603</v>
      </c>
      <c r="B181" s="22">
        <v>43.08</v>
      </c>
    </row>
    <row r="182" spans="1:2" x14ac:dyDescent="0.2">
      <c r="A182" s="2" t="s">
        <v>604</v>
      </c>
      <c r="B182" s="22">
        <v>42.86</v>
      </c>
    </row>
    <row r="183" spans="1:2" x14ac:dyDescent="0.2">
      <c r="A183" s="2" t="s">
        <v>605</v>
      </c>
      <c r="B183" s="22">
        <v>42.73</v>
      </c>
    </row>
    <row r="184" spans="1:2" x14ac:dyDescent="0.2">
      <c r="A184" s="2" t="s">
        <v>606</v>
      </c>
      <c r="B184" s="22">
        <v>48.24</v>
      </c>
    </row>
    <row r="185" spans="1:2" x14ac:dyDescent="0.2">
      <c r="A185" s="2" t="s">
        <v>607</v>
      </c>
      <c r="B185" s="22">
        <v>7.75</v>
      </c>
    </row>
    <row r="186" spans="1:2" x14ac:dyDescent="0.2">
      <c r="A186" s="2" t="s">
        <v>608</v>
      </c>
      <c r="B186" s="22">
        <v>1.85</v>
      </c>
    </row>
    <row r="187" spans="1:2" x14ac:dyDescent="0.2">
      <c r="A187" s="2" t="s">
        <v>609</v>
      </c>
      <c r="B187" s="22">
        <v>1.4</v>
      </c>
    </row>
    <row r="188" spans="1:2" x14ac:dyDescent="0.2">
      <c r="A188" s="2" t="s">
        <v>610</v>
      </c>
      <c r="B188" s="22">
        <v>2.82</v>
      </c>
    </row>
    <row r="189" spans="1:2" x14ac:dyDescent="0.2">
      <c r="A189" s="2" t="s">
        <v>611</v>
      </c>
      <c r="B189" s="22">
        <v>2.96</v>
      </c>
    </row>
    <row r="190" spans="1:2" x14ac:dyDescent="0.2">
      <c r="A190" s="2" t="s">
        <v>612</v>
      </c>
      <c r="B190" s="22">
        <v>1.7</v>
      </c>
    </row>
    <row r="191" spans="1:2" x14ac:dyDescent="0.2">
      <c r="A191" s="2" t="s">
        <v>613</v>
      </c>
      <c r="B191" s="22">
        <v>1.44</v>
      </c>
    </row>
    <row r="192" spans="1:2" x14ac:dyDescent="0.2">
      <c r="A192" s="2" t="s">
        <v>614</v>
      </c>
      <c r="B192" s="22">
        <v>1.01</v>
      </c>
    </row>
    <row r="193" spans="1:2" x14ac:dyDescent="0.2">
      <c r="A193" s="2" t="s">
        <v>615</v>
      </c>
      <c r="B193" s="22">
        <v>1.62</v>
      </c>
    </row>
    <row r="194" spans="1:2" x14ac:dyDescent="0.2">
      <c r="A194" s="2" t="s">
        <v>616</v>
      </c>
      <c r="B194" s="22">
        <v>2.4900000000000002</v>
      </c>
    </row>
    <row r="195" spans="1:2" x14ac:dyDescent="0.2">
      <c r="A195" s="2" t="s">
        <v>617</v>
      </c>
      <c r="B195" s="22">
        <v>2.1</v>
      </c>
    </row>
    <row r="196" spans="1:2" x14ac:dyDescent="0.2">
      <c r="A196" s="2" t="s">
        <v>618</v>
      </c>
      <c r="B196" s="22">
        <v>2.1800000000000002</v>
      </c>
    </row>
    <row r="197" spans="1:2" x14ac:dyDescent="0.2">
      <c r="A197" s="2" t="s">
        <v>619</v>
      </c>
      <c r="B197" s="22">
        <v>2.46</v>
      </c>
    </row>
    <row r="198" spans="1:2" x14ac:dyDescent="0.2">
      <c r="A198" s="2" t="s">
        <v>620</v>
      </c>
      <c r="B198" s="22">
        <v>1.02</v>
      </c>
    </row>
    <row r="199" spans="1:2" x14ac:dyDescent="0.2">
      <c r="A199" s="2" t="s">
        <v>621</v>
      </c>
      <c r="B199" s="22">
        <v>1.17</v>
      </c>
    </row>
    <row r="200" spans="1:2" x14ac:dyDescent="0.2">
      <c r="A200" s="2" t="s">
        <v>622</v>
      </c>
      <c r="B200" s="22">
        <v>1.4</v>
      </c>
    </row>
    <row r="201" spans="1:2" x14ac:dyDescent="0.2">
      <c r="A201" s="2" t="s">
        <v>623</v>
      </c>
      <c r="B201" s="22">
        <v>1.51</v>
      </c>
    </row>
    <row r="202" spans="1:2" x14ac:dyDescent="0.2">
      <c r="A202" s="2" t="s">
        <v>624</v>
      </c>
      <c r="B202" s="22">
        <v>1.65</v>
      </c>
    </row>
    <row r="203" spans="1:2" x14ac:dyDescent="0.2">
      <c r="A203" s="2" t="s">
        <v>625</v>
      </c>
      <c r="B203" s="22">
        <v>1.46</v>
      </c>
    </row>
    <row r="204" spans="1:2" x14ac:dyDescent="0.2">
      <c r="A204" s="2" t="s">
        <v>626</v>
      </c>
      <c r="B204" s="22">
        <v>0.71</v>
      </c>
    </row>
    <row r="205" spans="1:2" x14ac:dyDescent="0.2">
      <c r="A205" s="2" t="s">
        <v>627</v>
      </c>
      <c r="B205" s="22">
        <v>0.28999999999999998</v>
      </c>
    </row>
    <row r="206" spans="1:2" x14ac:dyDescent="0.2">
      <c r="A206" s="2" t="s">
        <v>628</v>
      </c>
      <c r="B206" s="22">
        <v>0.93</v>
      </c>
    </row>
    <row r="207" spans="1:2" x14ac:dyDescent="0.2">
      <c r="A207" s="2" t="s">
        <v>629</v>
      </c>
      <c r="B207" s="22">
        <v>1.28</v>
      </c>
    </row>
    <row r="208" spans="1:2" x14ac:dyDescent="0.2">
      <c r="A208" s="2" t="s">
        <v>630</v>
      </c>
      <c r="B208" s="22">
        <v>1.33</v>
      </c>
    </row>
    <row r="209" spans="1:2" x14ac:dyDescent="0.2">
      <c r="A209" s="2" t="s">
        <v>631</v>
      </c>
      <c r="B209" s="22">
        <v>1.2</v>
      </c>
    </row>
    <row r="210" spans="1:2" x14ac:dyDescent="0.2">
      <c r="A210" s="2" t="s">
        <v>632</v>
      </c>
      <c r="B210" s="22">
        <v>0.5</v>
      </c>
    </row>
    <row r="211" spans="1:2" x14ac:dyDescent="0.2">
      <c r="A211" s="2" t="s">
        <v>633</v>
      </c>
      <c r="B211" s="22">
        <v>0.02</v>
      </c>
    </row>
    <row r="212" spans="1:2" x14ac:dyDescent="0.2">
      <c r="A212" s="2" t="s">
        <v>634</v>
      </c>
      <c r="B212" s="22">
        <v>0.38</v>
      </c>
    </row>
    <row r="213" spans="1:2" x14ac:dyDescent="0.2">
      <c r="A213" s="2" t="s">
        <v>635</v>
      </c>
      <c r="B213" s="22">
        <v>0.34</v>
      </c>
    </row>
    <row r="214" spans="1:2" x14ac:dyDescent="0.2">
      <c r="A214" s="2" t="s">
        <v>636</v>
      </c>
      <c r="B214" s="22">
        <v>0.33</v>
      </c>
    </row>
    <row r="215" spans="1:2" x14ac:dyDescent="0.2">
      <c r="A215" s="2" t="s">
        <v>637</v>
      </c>
      <c r="B215" s="22">
        <v>0.81</v>
      </c>
    </row>
    <row r="216" spans="1:2" x14ac:dyDescent="0.2">
      <c r="A216" s="2" t="s">
        <v>638</v>
      </c>
      <c r="B216" s="22">
        <v>0.45</v>
      </c>
    </row>
    <row r="217" spans="1:2" x14ac:dyDescent="0.2">
      <c r="A217" s="2" t="s">
        <v>639</v>
      </c>
      <c r="B217" s="22">
        <v>0.68</v>
      </c>
    </row>
    <row r="218" spans="1:2" x14ac:dyDescent="0.2">
      <c r="A218" s="2" t="s">
        <v>640</v>
      </c>
      <c r="B218" s="22">
        <v>0.6</v>
      </c>
    </row>
    <row r="219" spans="1:2" x14ac:dyDescent="0.2">
      <c r="A219" s="2" t="s">
        <v>641</v>
      </c>
      <c r="B219" s="22">
        <v>0.11</v>
      </c>
    </row>
    <row r="220" spans="1:2" x14ac:dyDescent="0.2">
      <c r="A220" s="2" t="s">
        <v>642</v>
      </c>
      <c r="B220" s="22">
        <v>0.35</v>
      </c>
    </row>
    <row r="221" spans="1:2" x14ac:dyDescent="0.2">
      <c r="A221" s="2" t="s">
        <v>643</v>
      </c>
      <c r="B221" s="22">
        <v>0.18</v>
      </c>
    </row>
    <row r="222" spans="1:2" x14ac:dyDescent="0.2">
      <c r="A222" s="2" t="s">
        <v>644</v>
      </c>
      <c r="B222" s="22">
        <v>-0.03</v>
      </c>
    </row>
    <row r="223" spans="1:2" x14ac:dyDescent="0.2">
      <c r="A223" s="2" t="s">
        <v>645</v>
      </c>
      <c r="B223" s="22">
        <v>0.1</v>
      </c>
    </row>
    <row r="224" spans="1:2" x14ac:dyDescent="0.2">
      <c r="A224" s="2" t="s">
        <v>646</v>
      </c>
      <c r="B224" s="22">
        <v>0.28999999999999998</v>
      </c>
    </row>
    <row r="225" spans="1:2" x14ac:dyDescent="0.2">
      <c r="A225" s="2" t="s">
        <v>647</v>
      </c>
      <c r="B225" s="22">
        <v>0.15</v>
      </c>
    </row>
    <row r="226" spans="1:2" x14ac:dyDescent="0.2">
      <c r="A226" s="2" t="s">
        <v>648</v>
      </c>
      <c r="B226" s="22">
        <v>0.56999999999999995</v>
      </c>
    </row>
    <row r="227" spans="1:2" x14ac:dyDescent="0.2">
      <c r="A227" s="2" t="s">
        <v>649</v>
      </c>
      <c r="B227" s="22">
        <v>0.85</v>
      </c>
    </row>
    <row r="228" spans="1:2" x14ac:dyDescent="0.2">
      <c r="A228" s="2" t="s">
        <v>650</v>
      </c>
      <c r="B228" s="22">
        <v>0.54</v>
      </c>
    </row>
    <row r="229" spans="1:2" x14ac:dyDescent="0.2">
      <c r="A229" s="2" t="s">
        <v>651</v>
      </c>
      <c r="B229" s="22">
        <v>0.49</v>
      </c>
    </row>
    <row r="230" spans="1:2" x14ac:dyDescent="0.2">
      <c r="A230" s="2" t="s">
        <v>652</v>
      </c>
      <c r="B230" s="22">
        <v>0.45</v>
      </c>
    </row>
    <row r="231" spans="1:2" x14ac:dyDescent="0.2">
      <c r="A231" s="2" t="s">
        <v>653</v>
      </c>
      <c r="B231" s="22">
        <v>0.72</v>
      </c>
    </row>
    <row r="232" spans="1:2" x14ac:dyDescent="0.2">
      <c r="A232" s="2" t="s">
        <v>654</v>
      </c>
      <c r="B232" s="22">
        <v>0.15</v>
      </c>
    </row>
    <row r="233" spans="1:2" x14ac:dyDescent="0.2">
      <c r="A233" s="2" t="s">
        <v>655</v>
      </c>
      <c r="B233" s="22">
        <v>-0.28000000000000003</v>
      </c>
    </row>
    <row r="234" spans="1:2" x14ac:dyDescent="0.2">
      <c r="A234" s="2" t="s">
        <v>656</v>
      </c>
      <c r="B234" s="22">
        <v>-0.49</v>
      </c>
    </row>
    <row r="235" spans="1:2" x14ac:dyDescent="0.2">
      <c r="A235" s="2" t="s">
        <v>657</v>
      </c>
      <c r="B235" s="22">
        <v>-0.31</v>
      </c>
    </row>
    <row r="236" spans="1:2" x14ac:dyDescent="0.2">
      <c r="A236" s="2" t="s">
        <v>658</v>
      </c>
      <c r="B236" s="22">
        <v>0.11</v>
      </c>
    </row>
    <row r="237" spans="1:2" x14ac:dyDescent="0.2">
      <c r="A237" s="2" t="s">
        <v>659</v>
      </c>
      <c r="B237" s="22">
        <v>-0.18</v>
      </c>
    </row>
    <row r="238" spans="1:2" x14ac:dyDescent="0.2">
      <c r="A238" s="2" t="s">
        <v>660</v>
      </c>
      <c r="B238" s="22">
        <v>0.42</v>
      </c>
    </row>
    <row r="239" spans="1:2" x14ac:dyDescent="0.2">
      <c r="A239" s="2" t="s">
        <v>661</v>
      </c>
      <c r="B239" s="22">
        <v>0.65</v>
      </c>
    </row>
    <row r="240" spans="1:2" x14ac:dyDescent="0.2">
      <c r="A240" s="2" t="s">
        <v>662</v>
      </c>
      <c r="B240" s="22">
        <v>1.29</v>
      </c>
    </row>
    <row r="241" spans="1:2" x14ac:dyDescent="0.2">
      <c r="A241" s="2" t="s">
        <v>663</v>
      </c>
      <c r="B241" s="22">
        <v>1.28</v>
      </c>
    </row>
    <row r="242" spans="1:2" x14ac:dyDescent="0.2">
      <c r="A242" s="2" t="s">
        <v>664</v>
      </c>
      <c r="B242" s="22">
        <v>0.47</v>
      </c>
    </row>
    <row r="243" spans="1:2" x14ac:dyDescent="0.2">
      <c r="A243" s="2" t="s">
        <v>665</v>
      </c>
      <c r="B243" s="22">
        <v>0.05</v>
      </c>
    </row>
    <row r="244" spans="1:2" x14ac:dyDescent="0.2">
      <c r="A244" s="2" t="s">
        <v>666</v>
      </c>
      <c r="B244" s="22">
        <v>7.0000000000000007E-2</v>
      </c>
    </row>
    <row r="245" spans="1:2" x14ac:dyDescent="0.2">
      <c r="A245" s="2" t="s">
        <v>667</v>
      </c>
      <c r="B245" s="22">
        <v>0.74</v>
      </c>
    </row>
    <row r="246" spans="1:2" x14ac:dyDescent="0.2">
      <c r="A246" s="2" t="s">
        <v>668</v>
      </c>
      <c r="B246" s="22">
        <v>0.55000000000000004</v>
      </c>
    </row>
    <row r="247" spans="1:2" x14ac:dyDescent="0.2">
      <c r="A247" s="2" t="s">
        <v>669</v>
      </c>
      <c r="B247" s="22">
        <v>0.39</v>
      </c>
    </row>
    <row r="248" spans="1:2" x14ac:dyDescent="0.2">
      <c r="A248" s="2" t="s">
        <v>670</v>
      </c>
      <c r="B248" s="22">
        <v>0.96</v>
      </c>
    </row>
    <row r="249" spans="1:2" x14ac:dyDescent="0.2">
      <c r="A249" s="2" t="s">
        <v>671</v>
      </c>
      <c r="B249" s="22">
        <v>0.94</v>
      </c>
    </row>
    <row r="250" spans="1:2" x14ac:dyDescent="0.2">
      <c r="A250" s="2" t="s">
        <v>672</v>
      </c>
      <c r="B250" s="22">
        <v>0.74</v>
      </c>
    </row>
    <row r="251" spans="1:2" x14ac:dyDescent="0.2">
      <c r="A251" s="2" t="s">
        <v>673</v>
      </c>
      <c r="B251" s="22">
        <v>0.61</v>
      </c>
    </row>
    <row r="252" spans="1:2" x14ac:dyDescent="0.2">
      <c r="A252" s="2" t="s">
        <v>674</v>
      </c>
      <c r="B252" s="22">
        <v>0.05</v>
      </c>
    </row>
    <row r="253" spans="1:2" x14ac:dyDescent="0.2">
      <c r="A253" s="2" t="s">
        <v>675</v>
      </c>
      <c r="B253" s="22">
        <v>0.13</v>
      </c>
    </row>
    <row r="254" spans="1:2" x14ac:dyDescent="0.2">
      <c r="A254" s="2" t="s">
        <v>676</v>
      </c>
      <c r="B254" s="22">
        <v>0.09</v>
      </c>
    </row>
    <row r="255" spans="1:2" x14ac:dyDescent="0.2">
      <c r="A255" s="2" t="s">
        <v>677</v>
      </c>
      <c r="B255" s="22">
        <v>-0.05</v>
      </c>
    </row>
    <row r="256" spans="1:2" x14ac:dyDescent="0.2">
      <c r="A256" s="2" t="s">
        <v>678</v>
      </c>
      <c r="B256" s="22">
        <v>0.3</v>
      </c>
    </row>
    <row r="257" spans="1:2" x14ac:dyDescent="0.2">
      <c r="A257" s="2" t="s">
        <v>679</v>
      </c>
      <c r="B257" s="22">
        <v>1.39</v>
      </c>
    </row>
    <row r="258" spans="1:2" x14ac:dyDescent="0.2">
      <c r="A258" s="2" t="s">
        <v>680</v>
      </c>
      <c r="B258" s="22">
        <v>1.21</v>
      </c>
    </row>
    <row r="259" spans="1:2" x14ac:dyDescent="0.2">
      <c r="A259" s="2" t="s">
        <v>681</v>
      </c>
      <c r="B259" s="22">
        <v>0.43</v>
      </c>
    </row>
    <row r="260" spans="1:2" x14ac:dyDescent="0.2">
      <c r="A260" s="2" t="s">
        <v>682</v>
      </c>
      <c r="B260" s="22">
        <v>0.16</v>
      </c>
    </row>
    <row r="261" spans="1:2" x14ac:dyDescent="0.2">
      <c r="A261" s="2" t="s">
        <v>683</v>
      </c>
      <c r="B261" s="22">
        <v>0.28999999999999998</v>
      </c>
    </row>
    <row r="262" spans="1:2" x14ac:dyDescent="0.2">
      <c r="A262" s="2" t="s">
        <v>684</v>
      </c>
      <c r="B262" s="22">
        <v>0.55000000000000004</v>
      </c>
    </row>
    <row r="263" spans="1:2" x14ac:dyDescent="0.2">
      <c r="A263" s="2" t="s">
        <v>685</v>
      </c>
      <c r="B263" s="22">
        <v>0.77</v>
      </c>
    </row>
    <row r="264" spans="1:2" x14ac:dyDescent="0.2">
      <c r="A264" s="2" t="s">
        <v>686</v>
      </c>
      <c r="B264" s="22">
        <v>0.49</v>
      </c>
    </row>
    <row r="265" spans="1:2" x14ac:dyDescent="0.2">
      <c r="A265" s="2" t="s">
        <v>687</v>
      </c>
      <c r="B265" s="22">
        <v>0.48</v>
      </c>
    </row>
    <row r="266" spans="1:2" x14ac:dyDescent="0.2">
      <c r="A266" s="2" t="s">
        <v>688</v>
      </c>
      <c r="B266" s="22">
        <v>0.84</v>
      </c>
    </row>
    <row r="267" spans="1:2" x14ac:dyDescent="0.2">
      <c r="A267" s="2" t="s">
        <v>689</v>
      </c>
      <c r="B267" s="22">
        <v>0.56999999999999995</v>
      </c>
    </row>
    <row r="268" spans="1:2" x14ac:dyDescent="0.2">
      <c r="A268" s="2" t="s">
        <v>690</v>
      </c>
      <c r="B268" s="22">
        <v>0.6</v>
      </c>
    </row>
    <row r="269" spans="1:2" x14ac:dyDescent="0.2">
      <c r="A269" s="2" t="s">
        <v>691</v>
      </c>
      <c r="B269" s="22">
        <v>1.1100000000000001</v>
      </c>
    </row>
    <row r="270" spans="1:2" x14ac:dyDescent="0.2">
      <c r="A270" s="2" t="s">
        <v>692</v>
      </c>
      <c r="B270" s="22">
        <v>0.79</v>
      </c>
    </row>
    <row r="271" spans="1:2" x14ac:dyDescent="0.2">
      <c r="A271" s="2" t="s">
        <v>693</v>
      </c>
      <c r="B271" s="22">
        <v>0.44</v>
      </c>
    </row>
    <row r="272" spans="1:2" x14ac:dyDescent="0.2">
      <c r="A272" s="2" t="s">
        <v>694</v>
      </c>
      <c r="B272" s="22">
        <v>0.94</v>
      </c>
    </row>
    <row r="273" spans="1:2" x14ac:dyDescent="0.2">
      <c r="A273" s="2" t="s">
        <v>695</v>
      </c>
      <c r="B273" s="22">
        <v>1.29</v>
      </c>
    </row>
    <row r="274" spans="1:2" x14ac:dyDescent="0.2">
      <c r="A274" s="2" t="s">
        <v>696</v>
      </c>
      <c r="B274" s="22">
        <v>0.74</v>
      </c>
    </row>
    <row r="275" spans="1:2" x14ac:dyDescent="0.2">
      <c r="A275" s="2" t="s">
        <v>697</v>
      </c>
      <c r="B275" s="22">
        <v>1.07</v>
      </c>
    </row>
    <row r="276" spans="1:2" x14ac:dyDescent="0.2">
      <c r="A276" s="2" t="s">
        <v>698</v>
      </c>
      <c r="B276" s="22">
        <v>0.31</v>
      </c>
    </row>
    <row r="277" spans="1:2" x14ac:dyDescent="0.2">
      <c r="A277" s="2" t="s">
        <v>699</v>
      </c>
      <c r="B277" s="22">
        <v>0.62</v>
      </c>
    </row>
    <row r="278" spans="1:2" x14ac:dyDescent="0.2">
      <c r="A278" s="2" t="s">
        <v>700</v>
      </c>
      <c r="B278" s="22">
        <v>0.68</v>
      </c>
    </row>
    <row r="279" spans="1:2" x14ac:dyDescent="0.2">
      <c r="A279" s="2" t="s">
        <v>701</v>
      </c>
      <c r="B279" s="22">
        <v>0.09</v>
      </c>
    </row>
    <row r="280" spans="1:2" x14ac:dyDescent="0.2">
      <c r="A280" s="2" t="s">
        <v>702</v>
      </c>
      <c r="B280" s="22">
        <v>0.61</v>
      </c>
    </row>
    <row r="281" spans="1:2" x14ac:dyDescent="0.2">
      <c r="A281" s="2" t="s">
        <v>703</v>
      </c>
      <c r="B281" s="22">
        <v>1.1499999999999999</v>
      </c>
    </row>
    <row r="282" spans="1:2" x14ac:dyDescent="0.2">
      <c r="A282" s="2" t="s">
        <v>704</v>
      </c>
      <c r="B282" s="22">
        <v>0.86</v>
      </c>
    </row>
    <row r="283" spans="1:2" x14ac:dyDescent="0.2">
      <c r="A283" s="2" t="s">
        <v>705</v>
      </c>
      <c r="B283" s="22">
        <v>0.83</v>
      </c>
    </row>
    <row r="284" spans="1:2" x14ac:dyDescent="0.2">
      <c r="A284" s="2" t="s">
        <v>706</v>
      </c>
      <c r="B284" s="22">
        <v>1.57</v>
      </c>
    </row>
    <row r="285" spans="1:2" x14ac:dyDescent="0.2">
      <c r="A285" s="2" t="s">
        <v>707</v>
      </c>
      <c r="B285" s="22">
        <v>3.39</v>
      </c>
    </row>
    <row r="286" spans="1:2" x14ac:dyDescent="0.2">
      <c r="A286" s="2" t="s">
        <v>708</v>
      </c>
      <c r="B286" s="22">
        <v>2.7</v>
      </c>
    </row>
    <row r="287" spans="1:2" x14ac:dyDescent="0.2">
      <c r="A287" s="2" t="s">
        <v>709</v>
      </c>
      <c r="B287" s="22">
        <v>2.4700000000000002</v>
      </c>
    </row>
    <row r="288" spans="1:2" x14ac:dyDescent="0.2">
      <c r="A288" s="2" t="s">
        <v>710</v>
      </c>
      <c r="B288" s="22">
        <v>1.46</v>
      </c>
    </row>
    <row r="289" spans="1:2" x14ac:dyDescent="0.2">
      <c r="A289" s="2" t="s">
        <v>711</v>
      </c>
      <c r="B289" s="22">
        <v>1.37</v>
      </c>
    </row>
    <row r="290" spans="1:2" x14ac:dyDescent="0.2">
      <c r="A290" s="2" t="s">
        <v>712</v>
      </c>
      <c r="B290" s="22">
        <v>1.38</v>
      </c>
    </row>
    <row r="291" spans="1:2" x14ac:dyDescent="0.2">
      <c r="A291" s="2" t="s">
        <v>713</v>
      </c>
      <c r="B291" s="22">
        <v>0.99</v>
      </c>
    </row>
    <row r="292" spans="1:2" x14ac:dyDescent="0.2">
      <c r="A292" s="2" t="s">
        <v>714</v>
      </c>
      <c r="B292" s="22">
        <v>-0.06</v>
      </c>
    </row>
    <row r="293" spans="1:2" x14ac:dyDescent="0.2">
      <c r="A293" s="2" t="s">
        <v>715</v>
      </c>
      <c r="B293" s="22">
        <v>0.04</v>
      </c>
    </row>
    <row r="294" spans="1:2" x14ac:dyDescent="0.2">
      <c r="A294" s="2" t="s">
        <v>716</v>
      </c>
      <c r="B294" s="22">
        <v>0.18</v>
      </c>
    </row>
    <row r="295" spans="1:2" x14ac:dyDescent="0.2">
      <c r="A295" s="2" t="s">
        <v>717</v>
      </c>
      <c r="B295" s="22">
        <v>0.82</v>
      </c>
    </row>
    <row r="296" spans="1:2" x14ac:dyDescent="0.2">
      <c r="A296" s="2" t="s">
        <v>718</v>
      </c>
      <c r="B296" s="22">
        <v>0.39</v>
      </c>
    </row>
    <row r="297" spans="1:2" x14ac:dyDescent="0.2">
      <c r="A297" s="2" t="s">
        <v>719</v>
      </c>
      <c r="B297" s="22">
        <v>0.37</v>
      </c>
    </row>
    <row r="298" spans="1:2" x14ac:dyDescent="0.2">
      <c r="A298" s="2" t="s">
        <v>720</v>
      </c>
      <c r="B298" s="22">
        <v>0.54</v>
      </c>
    </row>
    <row r="299" spans="1:2" x14ac:dyDescent="0.2">
      <c r="A299" s="2" t="s">
        <v>721</v>
      </c>
      <c r="B299" s="22">
        <v>0.83</v>
      </c>
    </row>
    <row r="300" spans="1:2" x14ac:dyDescent="0.2">
      <c r="A300" s="2" t="s">
        <v>722</v>
      </c>
      <c r="B300" s="22">
        <v>0.39</v>
      </c>
    </row>
    <row r="301" spans="1:2" x14ac:dyDescent="0.2">
      <c r="A301" s="2" t="s">
        <v>723</v>
      </c>
      <c r="B301" s="22">
        <v>0.56999999999999995</v>
      </c>
    </row>
    <row r="302" spans="1:2" x14ac:dyDescent="0.2">
      <c r="A302" s="2" t="s">
        <v>724</v>
      </c>
      <c r="B302" s="22">
        <v>0.41</v>
      </c>
    </row>
    <row r="303" spans="1:2" x14ac:dyDescent="0.2">
      <c r="A303" s="2" t="s">
        <v>725</v>
      </c>
      <c r="B303" s="22">
        <v>0.4</v>
      </c>
    </row>
    <row r="304" spans="1:2" x14ac:dyDescent="0.2">
      <c r="A304" s="2" t="s">
        <v>726</v>
      </c>
      <c r="B304" s="22">
        <v>0.5</v>
      </c>
    </row>
    <row r="305" spans="1:2" x14ac:dyDescent="0.2">
      <c r="A305" s="2" t="s">
        <v>727</v>
      </c>
      <c r="B305" s="22">
        <v>0.73</v>
      </c>
    </row>
    <row r="306" spans="1:2" x14ac:dyDescent="0.2">
      <c r="A306" s="2" t="s">
        <v>728</v>
      </c>
      <c r="B306" s="22">
        <v>0.5</v>
      </c>
    </row>
    <row r="307" spans="1:2" x14ac:dyDescent="0.2">
      <c r="A307" s="2" t="s">
        <v>729</v>
      </c>
      <c r="B307" s="22">
        <v>0.17</v>
      </c>
    </row>
    <row r="308" spans="1:2" x14ac:dyDescent="0.2">
      <c r="A308" s="2" t="s">
        <v>730</v>
      </c>
      <c r="B308" s="22">
        <v>0.17</v>
      </c>
    </row>
    <row r="309" spans="1:2" x14ac:dyDescent="0.2">
      <c r="A309" s="2" t="s">
        <v>731</v>
      </c>
      <c r="B309" s="22">
        <v>0.44</v>
      </c>
    </row>
    <row r="310" spans="1:2" x14ac:dyDescent="0.2">
      <c r="A310" s="2" t="s">
        <v>732</v>
      </c>
      <c r="B310" s="22">
        <v>0.86</v>
      </c>
    </row>
    <row r="311" spans="1:2" x14ac:dyDescent="0.2">
      <c r="A311" s="2" t="s">
        <v>733</v>
      </c>
      <c r="B311" s="22">
        <v>0.56999999999999995</v>
      </c>
    </row>
    <row r="312" spans="1:2" x14ac:dyDescent="0.2">
      <c r="A312" s="2" t="s">
        <v>734</v>
      </c>
      <c r="B312" s="22">
        <v>0.44</v>
      </c>
    </row>
    <row r="313" spans="1:2" x14ac:dyDescent="0.2">
      <c r="A313" s="2" t="s">
        <v>735</v>
      </c>
      <c r="B313" s="22">
        <v>0.73</v>
      </c>
    </row>
    <row r="314" spans="1:2" x14ac:dyDescent="0.2">
      <c r="A314" s="2" t="s">
        <v>736</v>
      </c>
      <c r="B314" s="22">
        <v>0.91</v>
      </c>
    </row>
    <row r="315" spans="1:2" x14ac:dyDescent="0.2">
      <c r="A315" s="2" t="s">
        <v>737</v>
      </c>
      <c r="B315" s="22">
        <v>0.7</v>
      </c>
    </row>
    <row r="316" spans="1:2" x14ac:dyDescent="0.2">
      <c r="A316" s="2" t="s">
        <v>738</v>
      </c>
      <c r="B316" s="22">
        <v>-0.11</v>
      </c>
    </row>
    <row r="317" spans="1:2" x14ac:dyDescent="0.2">
      <c r="A317" s="2" t="s">
        <v>739</v>
      </c>
      <c r="B317" s="22">
        <v>0.03</v>
      </c>
    </row>
    <row r="318" spans="1:2" x14ac:dyDescent="0.2">
      <c r="A318" s="2" t="s">
        <v>740</v>
      </c>
      <c r="B318" s="22">
        <v>0</v>
      </c>
    </row>
    <row r="319" spans="1:2" x14ac:dyDescent="0.2">
      <c r="A319" s="2" t="s">
        <v>741</v>
      </c>
      <c r="B319" s="22">
        <v>0.15</v>
      </c>
    </row>
    <row r="320" spans="1:2" x14ac:dyDescent="0.2">
      <c r="A320" s="2" t="s">
        <v>742</v>
      </c>
      <c r="B320" s="22">
        <v>0.57999999999999996</v>
      </c>
    </row>
    <row r="321" spans="1:2" x14ac:dyDescent="0.2">
      <c r="A321" s="2" t="s">
        <v>743</v>
      </c>
      <c r="B321" s="22">
        <v>0.54</v>
      </c>
    </row>
    <row r="322" spans="1:2" x14ac:dyDescent="0.2">
      <c r="A322" s="2" t="s">
        <v>744</v>
      </c>
      <c r="B322" s="22">
        <v>0.4</v>
      </c>
    </row>
    <row r="323" spans="1:2" x14ac:dyDescent="0.2">
      <c r="A323" s="2" t="s">
        <v>745</v>
      </c>
      <c r="B323" s="22">
        <v>0.38</v>
      </c>
    </row>
    <row r="324" spans="1:2" x14ac:dyDescent="0.2">
      <c r="A324" s="2" t="s">
        <v>746</v>
      </c>
      <c r="B324" s="22">
        <v>0.23</v>
      </c>
    </row>
    <row r="325" spans="1:2" x14ac:dyDescent="0.2">
      <c r="A325" s="2" t="s">
        <v>747</v>
      </c>
      <c r="B325" s="22">
        <v>0.27</v>
      </c>
    </row>
    <row r="326" spans="1:2" x14ac:dyDescent="0.2">
      <c r="A326" s="2" t="s">
        <v>748</v>
      </c>
      <c r="B326" s="22">
        <v>0.12</v>
      </c>
    </row>
    <row r="327" spans="1:2" x14ac:dyDescent="0.2">
      <c r="A327" s="2" t="s">
        <v>749</v>
      </c>
      <c r="B327" s="22">
        <v>0.13</v>
      </c>
    </row>
    <row r="328" spans="1:2" x14ac:dyDescent="0.2">
      <c r="A328" s="2" t="s">
        <v>750</v>
      </c>
      <c r="B328" s="22">
        <v>-7.0000000000000007E-2</v>
      </c>
    </row>
    <row r="329" spans="1:2" x14ac:dyDescent="0.2">
      <c r="A329" s="2" t="s">
        <v>751</v>
      </c>
      <c r="B329" s="22">
        <v>0.11</v>
      </c>
    </row>
    <row r="330" spans="1:2" x14ac:dyDescent="0.2">
      <c r="A330" s="2" t="s">
        <v>752</v>
      </c>
      <c r="B330" s="22">
        <v>-0.02</v>
      </c>
    </row>
    <row r="331" spans="1:2" x14ac:dyDescent="0.2">
      <c r="A331" s="2" t="s">
        <v>753</v>
      </c>
      <c r="B331" s="22">
        <v>0.16</v>
      </c>
    </row>
    <row r="332" spans="1:2" x14ac:dyDescent="0.2">
      <c r="A332" s="2" t="s">
        <v>754</v>
      </c>
      <c r="B332" s="22">
        <v>0.43</v>
      </c>
    </row>
    <row r="333" spans="1:2" x14ac:dyDescent="0.2">
      <c r="A333" s="2" t="s">
        <v>755</v>
      </c>
      <c r="B333" s="22">
        <v>0.42</v>
      </c>
    </row>
    <row r="334" spans="1:2" x14ac:dyDescent="0.2">
      <c r="A334" s="2" t="s">
        <v>756</v>
      </c>
      <c r="B334" s="22">
        <v>0.62</v>
      </c>
    </row>
    <row r="335" spans="1:2" x14ac:dyDescent="0.2">
      <c r="A335" s="2" t="s">
        <v>757</v>
      </c>
      <c r="B335" s="22">
        <v>0.49</v>
      </c>
    </row>
    <row r="336" spans="1:2" x14ac:dyDescent="0.2">
      <c r="A336" s="2" t="s">
        <v>758</v>
      </c>
      <c r="B336" s="22">
        <v>0.42</v>
      </c>
    </row>
    <row r="337" spans="1:2" x14ac:dyDescent="0.2">
      <c r="A337" s="2" t="s">
        <v>759</v>
      </c>
      <c r="B337" s="22">
        <v>0.44</v>
      </c>
    </row>
    <row r="338" spans="1:2" x14ac:dyDescent="0.2">
      <c r="A338" s="2" t="s">
        <v>760</v>
      </c>
      <c r="B338" s="22">
        <v>0.26</v>
      </c>
    </row>
    <row r="339" spans="1:2" x14ac:dyDescent="0.2">
      <c r="A339" s="2" t="s">
        <v>761</v>
      </c>
      <c r="B339" s="22">
        <v>0.26</v>
      </c>
    </row>
    <row r="340" spans="1:2" x14ac:dyDescent="0.2">
      <c r="A340" s="2" t="s">
        <v>762</v>
      </c>
      <c r="B340" s="22">
        <v>0.31</v>
      </c>
    </row>
    <row r="341" spans="1:2" x14ac:dyDescent="0.2">
      <c r="A341" s="2" t="s">
        <v>763</v>
      </c>
      <c r="B341" s="22">
        <v>0.32</v>
      </c>
    </row>
    <row r="342" spans="1:2" x14ac:dyDescent="0.2">
      <c r="A342" s="2" t="s">
        <v>764</v>
      </c>
      <c r="B342" s="22">
        <v>0.59</v>
      </c>
    </row>
    <row r="343" spans="1:2" x14ac:dyDescent="0.2">
      <c r="A343" s="2" t="s">
        <v>765</v>
      </c>
      <c r="B343" s="22">
        <v>0.25</v>
      </c>
    </row>
    <row r="344" spans="1:2" x14ac:dyDescent="0.2">
      <c r="A344" s="2" t="s">
        <v>766</v>
      </c>
      <c r="B344" s="22">
        <v>0.3</v>
      </c>
    </row>
    <row r="345" spans="1:2" x14ac:dyDescent="0.2">
      <c r="A345" s="2" t="s">
        <v>767</v>
      </c>
      <c r="B345" s="22">
        <v>0.43</v>
      </c>
    </row>
    <row r="346" spans="1:2" x14ac:dyDescent="0.2">
      <c r="A346" s="2" t="s">
        <v>768</v>
      </c>
      <c r="B346" s="22">
        <v>0.97</v>
      </c>
    </row>
    <row r="347" spans="1:2" x14ac:dyDescent="0.2">
      <c r="A347" s="2" t="s">
        <v>769</v>
      </c>
      <c r="B347" s="22">
        <v>0.69</v>
      </c>
    </row>
    <row r="348" spans="1:2" x14ac:dyDescent="0.2">
      <c r="A348" s="2" t="s">
        <v>770</v>
      </c>
      <c r="B348" s="22">
        <v>0.48</v>
      </c>
    </row>
    <row r="349" spans="1:2" x14ac:dyDescent="0.2">
      <c r="A349" s="2" t="s">
        <v>771</v>
      </c>
      <c r="B349" s="22">
        <v>0.51</v>
      </c>
    </row>
    <row r="350" spans="1:2" x14ac:dyDescent="0.2">
      <c r="A350" s="2" t="s">
        <v>772</v>
      </c>
      <c r="B350" s="22">
        <v>0.64</v>
      </c>
    </row>
    <row r="351" spans="1:2" x14ac:dyDescent="0.2">
      <c r="A351" s="2" t="s">
        <v>773</v>
      </c>
      <c r="B351" s="22">
        <v>0.96</v>
      </c>
    </row>
    <row r="352" spans="1:2" x14ac:dyDescent="0.2">
      <c r="A352" s="2" t="s">
        <v>774</v>
      </c>
      <c r="B352" s="22">
        <v>0.91</v>
      </c>
    </row>
    <row r="353" spans="1:2" x14ac:dyDescent="0.2">
      <c r="A353" s="2" t="s">
        <v>775</v>
      </c>
      <c r="B353" s="22">
        <v>0.57999999999999996</v>
      </c>
    </row>
    <row r="354" spans="1:2" x14ac:dyDescent="0.2">
      <c r="A354" s="2" t="s">
        <v>776</v>
      </c>
      <c r="B354" s="22">
        <v>0.21</v>
      </c>
    </row>
    <row r="355" spans="1:2" x14ac:dyDescent="0.2">
      <c r="A355" s="2" t="s">
        <v>777</v>
      </c>
      <c r="B355" s="22">
        <v>0.15</v>
      </c>
    </row>
    <row r="356" spans="1:2" x14ac:dyDescent="0.2">
      <c r="A356" s="2" t="s">
        <v>778</v>
      </c>
      <c r="B356" s="22">
        <v>0.5</v>
      </c>
    </row>
    <row r="357" spans="1:2" x14ac:dyDescent="0.2">
      <c r="A357" s="2" t="s">
        <v>779</v>
      </c>
      <c r="B357" s="22">
        <v>0.38</v>
      </c>
    </row>
    <row r="358" spans="1:2" x14ac:dyDescent="0.2">
      <c r="A358" s="2" t="s">
        <v>780</v>
      </c>
      <c r="B358" s="22">
        <v>0.28999999999999998</v>
      </c>
    </row>
    <row r="359" spans="1:2" x14ac:dyDescent="0.2">
      <c r="A359" s="2" t="s">
        <v>781</v>
      </c>
      <c r="B359" s="22">
        <v>0.64</v>
      </c>
    </row>
    <row r="360" spans="1:2" x14ac:dyDescent="0.2">
      <c r="A360" s="2" t="s">
        <v>782</v>
      </c>
      <c r="B360" s="22">
        <v>0.31</v>
      </c>
    </row>
    <row r="361" spans="1:2" x14ac:dyDescent="0.2">
      <c r="A361" s="2" t="s">
        <v>783</v>
      </c>
      <c r="B361" s="22">
        <v>0.2</v>
      </c>
    </row>
    <row r="362" spans="1:2" x14ac:dyDescent="0.2">
      <c r="A362" s="2" t="s">
        <v>784</v>
      </c>
      <c r="B362" s="22">
        <v>0.55000000000000004</v>
      </c>
    </row>
    <row r="363" spans="1:2" x14ac:dyDescent="0.2">
      <c r="A363" s="2" t="s">
        <v>785</v>
      </c>
      <c r="B363" s="22">
        <v>0.6</v>
      </c>
    </row>
    <row r="364" spans="1:2" x14ac:dyDescent="0.2">
      <c r="A364" s="2" t="s">
        <v>786</v>
      </c>
      <c r="B364" s="22">
        <v>0.42</v>
      </c>
    </row>
    <row r="365" spans="1:2" x14ac:dyDescent="0.2">
      <c r="A365" s="2" t="s">
        <v>787</v>
      </c>
      <c r="B365" s="22">
        <v>0.23</v>
      </c>
    </row>
    <row r="366" spans="1:2" x14ac:dyDescent="0.2">
      <c r="A366" s="2" t="s">
        <v>788</v>
      </c>
      <c r="B366" s="22">
        <v>0.08</v>
      </c>
    </row>
    <row r="367" spans="1:2" x14ac:dyDescent="0.2">
      <c r="A367" s="2" t="s">
        <v>789</v>
      </c>
      <c r="B367" s="22">
        <v>0.16</v>
      </c>
    </row>
    <row r="368" spans="1:2" x14ac:dyDescent="0.2">
      <c r="A368" s="2" t="s">
        <v>790</v>
      </c>
      <c r="B368" s="22">
        <v>0.24</v>
      </c>
    </row>
    <row r="369" spans="1:2" x14ac:dyDescent="0.2">
      <c r="A369" s="2" t="s">
        <v>791</v>
      </c>
      <c r="B369" s="22">
        <v>0.37</v>
      </c>
    </row>
    <row r="370" spans="1:2" x14ac:dyDescent="0.2">
      <c r="A370" s="2" t="s">
        <v>792</v>
      </c>
      <c r="B370" s="22">
        <v>0.24</v>
      </c>
    </row>
    <row r="371" spans="1:2" x14ac:dyDescent="0.2">
      <c r="A371" s="2" t="s">
        <v>793</v>
      </c>
      <c r="B371" s="22">
        <v>0.88</v>
      </c>
    </row>
    <row r="372" spans="1:2" x14ac:dyDescent="0.2">
      <c r="A372" s="2" t="s">
        <v>794</v>
      </c>
      <c r="B372" s="22">
        <v>0.7</v>
      </c>
    </row>
    <row r="373" spans="1:2" x14ac:dyDescent="0.2">
      <c r="A373" s="2" t="s">
        <v>795</v>
      </c>
      <c r="B373" s="22">
        <v>0.71</v>
      </c>
    </row>
    <row r="374" spans="1:2" x14ac:dyDescent="0.2">
      <c r="A374" s="2" t="s">
        <v>796</v>
      </c>
      <c r="B374" s="22">
        <v>0.73</v>
      </c>
    </row>
    <row r="375" spans="1:2" x14ac:dyDescent="0.2">
      <c r="A375" s="2" t="s">
        <v>797</v>
      </c>
      <c r="B375" s="22">
        <v>0.43</v>
      </c>
    </row>
    <row r="376" spans="1:2" x14ac:dyDescent="0.2">
      <c r="A376" s="2" t="s">
        <v>798</v>
      </c>
      <c r="B376" s="22">
        <v>-0.11</v>
      </c>
    </row>
    <row r="377" spans="1:2" x14ac:dyDescent="0.2">
      <c r="A377" s="2" t="s">
        <v>799</v>
      </c>
      <c r="B377" s="22">
        <v>-7.0000000000000007E-2</v>
      </c>
    </row>
    <row r="378" spans="1:2" x14ac:dyDescent="0.2">
      <c r="A378" s="2" t="s">
        <v>800</v>
      </c>
      <c r="B378" s="22">
        <v>-7.0000000000000007E-2</v>
      </c>
    </row>
    <row r="379" spans="1:2" x14ac:dyDescent="0.2">
      <c r="A379" s="2" t="s">
        <v>801</v>
      </c>
      <c r="B379" s="22">
        <v>0.54</v>
      </c>
    </row>
    <row r="380" spans="1:2" x14ac:dyDescent="0.2">
      <c r="A380" s="2" t="s">
        <v>802</v>
      </c>
      <c r="B380" s="22">
        <v>0.92</v>
      </c>
    </row>
    <row r="381" spans="1:2" x14ac:dyDescent="0.2">
      <c r="A381" s="2" t="s">
        <v>803</v>
      </c>
      <c r="B381" s="22">
        <v>1.03</v>
      </c>
    </row>
    <row r="382" spans="1:2" x14ac:dyDescent="0.2">
      <c r="A382" s="2" t="s">
        <v>804</v>
      </c>
      <c r="B382" s="22">
        <v>0.6</v>
      </c>
    </row>
    <row r="383" spans="1:2" x14ac:dyDescent="0.2">
      <c r="A383" s="2" t="s">
        <v>805</v>
      </c>
      <c r="B383" s="22">
        <v>0.94</v>
      </c>
    </row>
    <row r="384" spans="1:2" x14ac:dyDescent="0.2">
      <c r="A384" s="2" t="s">
        <v>806</v>
      </c>
      <c r="B384" s="22">
        <v>0.54</v>
      </c>
    </row>
    <row r="385" spans="1:2" x14ac:dyDescent="0.2">
      <c r="A385" s="2" t="s">
        <v>807</v>
      </c>
      <c r="B385" s="22">
        <v>0.66</v>
      </c>
    </row>
    <row r="386" spans="1:2" x14ac:dyDescent="0.2">
      <c r="A386" s="2" t="s">
        <v>808</v>
      </c>
      <c r="B386" s="22">
        <v>0.72</v>
      </c>
    </row>
    <row r="387" spans="1:2" x14ac:dyDescent="0.2">
      <c r="A387" s="2" t="s">
        <v>809</v>
      </c>
      <c r="B387" s="22">
        <v>0.56999999999999995</v>
      </c>
    </row>
    <row r="388" spans="1:2" x14ac:dyDescent="0.2">
      <c r="A388" s="2" t="s">
        <v>810</v>
      </c>
      <c r="B388" s="22">
        <v>0.22</v>
      </c>
    </row>
    <row r="389" spans="1:2" x14ac:dyDescent="0.2">
      <c r="A389" s="2" t="s">
        <v>811</v>
      </c>
      <c r="B389" s="22">
        <v>0</v>
      </c>
    </row>
    <row r="390" spans="1:2" x14ac:dyDescent="0.2">
      <c r="A390" s="2" t="s">
        <v>812</v>
      </c>
      <c r="B390" s="22">
        <v>0.42</v>
      </c>
    </row>
    <row r="391" spans="1:2" x14ac:dyDescent="0.2">
      <c r="A391" s="2" t="s">
        <v>813</v>
      </c>
      <c r="B391" s="22">
        <v>0.45</v>
      </c>
    </row>
    <row r="392" spans="1:2" x14ac:dyDescent="0.2">
      <c r="A392" s="2" t="s">
        <v>814</v>
      </c>
      <c r="B392" s="22">
        <v>0.32</v>
      </c>
    </row>
    <row r="393" spans="1:2" x14ac:dyDescent="0.2">
      <c r="A393" s="2" t="s">
        <v>815</v>
      </c>
      <c r="B393" s="22">
        <v>0.56999999999999995</v>
      </c>
    </row>
    <row r="394" spans="1:2" x14ac:dyDescent="0.2">
      <c r="A394" s="2" t="s">
        <v>816</v>
      </c>
      <c r="B394" s="22">
        <v>0.51</v>
      </c>
    </row>
    <row r="395" spans="1:2" x14ac:dyDescent="0.2">
      <c r="A395" s="2" t="s">
        <v>817</v>
      </c>
      <c r="B395" s="22">
        <v>0.51</v>
      </c>
    </row>
    <row r="396" spans="1:2" x14ac:dyDescent="0.2">
      <c r="A396" s="2" t="s">
        <v>818</v>
      </c>
      <c r="B396" s="22">
        <v>0.39</v>
      </c>
    </row>
    <row r="397" spans="1:2" x14ac:dyDescent="0.2">
      <c r="A397" s="2" t="s">
        <v>819</v>
      </c>
      <c r="B397" s="22">
        <v>0.18</v>
      </c>
    </row>
    <row r="398" spans="1:2" x14ac:dyDescent="0.2">
      <c r="A398" s="2" t="s">
        <v>820</v>
      </c>
      <c r="B398" s="22">
        <v>0.64</v>
      </c>
    </row>
    <row r="399" spans="1:2" x14ac:dyDescent="0.2">
      <c r="A399" s="2" t="s">
        <v>821</v>
      </c>
      <c r="B399" s="22">
        <v>0.55000000000000004</v>
      </c>
    </row>
    <row r="400" spans="1:2" x14ac:dyDescent="0.2">
      <c r="A400" s="2" t="s">
        <v>822</v>
      </c>
      <c r="B400" s="22">
        <v>0.26</v>
      </c>
    </row>
    <row r="401" spans="1:2" x14ac:dyDescent="0.2">
      <c r="A401" s="2" t="s">
        <v>823</v>
      </c>
      <c r="B401" s="22">
        <v>0.43</v>
      </c>
    </row>
    <row r="402" spans="1:2" x14ac:dyDescent="0.2">
      <c r="A402" s="2" t="s">
        <v>824</v>
      </c>
      <c r="B402" s="22">
        <v>0.45</v>
      </c>
    </row>
    <row r="403" spans="1:2" x14ac:dyDescent="0.2">
      <c r="A403" s="2" t="s">
        <v>825</v>
      </c>
      <c r="B403" s="22">
        <v>0.63</v>
      </c>
    </row>
    <row r="404" spans="1:2" x14ac:dyDescent="0.2">
      <c r="A404" s="2" t="s">
        <v>826</v>
      </c>
      <c r="B404" s="22">
        <v>0.71</v>
      </c>
    </row>
    <row r="405" spans="1:2" x14ac:dyDescent="0.2">
      <c r="A405" s="2" t="s">
        <v>827</v>
      </c>
      <c r="B405" s="22">
        <v>0.54</v>
      </c>
    </row>
    <row r="406" spans="1:2" x14ac:dyDescent="0.2">
      <c r="A406" s="2" t="s">
        <v>828</v>
      </c>
      <c r="B406" s="22">
        <v>0.74</v>
      </c>
    </row>
    <row r="407" spans="1:2" x14ac:dyDescent="0.2">
      <c r="A407" s="2" t="s">
        <v>829</v>
      </c>
      <c r="B407" s="22">
        <v>0.92</v>
      </c>
    </row>
    <row r="408" spans="1:2" x14ac:dyDescent="0.2">
      <c r="A408" s="2" t="s">
        <v>830</v>
      </c>
      <c r="B408" s="22">
        <v>0.52</v>
      </c>
    </row>
    <row r="409" spans="1:2" x14ac:dyDescent="0.2">
      <c r="A409" s="2" t="s">
        <v>831</v>
      </c>
      <c r="B409" s="22">
        <v>0.6</v>
      </c>
    </row>
    <row r="410" spans="1:2" x14ac:dyDescent="0.2">
      <c r="A410" s="2" t="s">
        <v>832</v>
      </c>
      <c r="B410" s="22">
        <v>0.59</v>
      </c>
    </row>
    <row r="411" spans="1:2" x14ac:dyDescent="0.2">
      <c r="A411" s="2" t="s">
        <v>833</v>
      </c>
      <c r="B411" s="22">
        <v>0.35</v>
      </c>
    </row>
    <row r="412" spans="1:2" x14ac:dyDescent="0.2">
      <c r="A412" s="2" t="s">
        <v>834</v>
      </c>
      <c r="B412" s="22">
        <v>0.28000000000000003</v>
      </c>
    </row>
    <row r="413" spans="1:2" x14ac:dyDescent="0.2">
      <c r="A413" s="2" t="s">
        <v>835</v>
      </c>
      <c r="B413" s="22">
        <v>-0.13</v>
      </c>
    </row>
    <row r="414" spans="1:2" x14ac:dyDescent="0.2">
      <c r="A414" s="2" t="s">
        <v>836</v>
      </c>
      <c r="B414" s="22">
        <v>0.16</v>
      </c>
    </row>
    <row r="415" spans="1:2" x14ac:dyDescent="0.2">
      <c r="A415" s="2" t="s">
        <v>837</v>
      </c>
      <c r="B415" s="22">
        <v>0.27</v>
      </c>
    </row>
    <row r="416" spans="1:2" x14ac:dyDescent="0.2">
      <c r="A416" s="2" t="s">
        <v>838</v>
      </c>
      <c r="B416" s="22">
        <v>0.61</v>
      </c>
    </row>
    <row r="417" spans="1:2" x14ac:dyDescent="0.2">
      <c r="A417" s="2" t="s">
        <v>839</v>
      </c>
      <c r="B417" s="22">
        <v>0.54</v>
      </c>
    </row>
    <row r="418" spans="1:2" x14ac:dyDescent="0.2">
      <c r="A418" s="2" t="s">
        <v>840</v>
      </c>
      <c r="B418" s="22">
        <v>0.72</v>
      </c>
    </row>
    <row r="419" spans="1:2" x14ac:dyDescent="0.2">
      <c r="A419" s="2" t="s">
        <v>841</v>
      </c>
      <c r="B419" s="22">
        <v>0.63</v>
      </c>
    </row>
    <row r="420" spans="1:2" x14ac:dyDescent="0.2">
      <c r="A420" s="2" t="s">
        <v>842</v>
      </c>
      <c r="B420" s="22">
        <v>0.64</v>
      </c>
    </row>
    <row r="421" spans="1:2" x14ac:dyDescent="0.2">
      <c r="A421" s="2" t="s">
        <v>843</v>
      </c>
      <c r="B421" s="22">
        <v>0.82</v>
      </c>
    </row>
    <row r="422" spans="1:2" x14ac:dyDescent="0.2">
      <c r="A422" s="2" t="s">
        <v>844</v>
      </c>
      <c r="B422" s="22">
        <v>0.78</v>
      </c>
    </row>
    <row r="423" spans="1:2" x14ac:dyDescent="0.2">
      <c r="A423" s="2" t="s">
        <v>845</v>
      </c>
      <c r="B423" s="22">
        <v>0.6</v>
      </c>
    </row>
    <row r="424" spans="1:2" x14ac:dyDescent="0.2">
      <c r="A424" s="2" t="s">
        <v>846</v>
      </c>
      <c r="B424" s="22">
        <v>0.26</v>
      </c>
    </row>
    <row r="425" spans="1:2" x14ac:dyDescent="0.2">
      <c r="A425" s="2" t="s">
        <v>847</v>
      </c>
      <c r="B425" s="22">
        <v>0.13</v>
      </c>
    </row>
    <row r="426" spans="1:2" x14ac:dyDescent="0.2">
      <c r="A426" s="2" t="s">
        <v>848</v>
      </c>
      <c r="B426" s="22">
        <v>0.18</v>
      </c>
    </row>
    <row r="427" spans="1:2" x14ac:dyDescent="0.2">
      <c r="A427" s="2" t="s">
        <v>849</v>
      </c>
      <c r="B427" s="22">
        <v>0.49</v>
      </c>
    </row>
    <row r="428" spans="1:2" x14ac:dyDescent="0.2">
      <c r="A428" s="2" t="s">
        <v>850</v>
      </c>
      <c r="B428" s="22">
        <v>0.38</v>
      </c>
    </row>
    <row r="429" spans="1:2" x14ac:dyDescent="0.2">
      <c r="A429" s="2" t="s">
        <v>851</v>
      </c>
      <c r="B429" s="22">
        <v>0.53</v>
      </c>
    </row>
    <row r="430" spans="1:2" x14ac:dyDescent="0.2">
      <c r="A430" s="2" t="s">
        <v>852</v>
      </c>
      <c r="B430" s="22">
        <v>0.62</v>
      </c>
    </row>
    <row r="431" spans="1:2" x14ac:dyDescent="0.2">
      <c r="A431" s="2" t="s">
        <v>853</v>
      </c>
      <c r="B431" s="22">
        <v>1.48</v>
      </c>
    </row>
    <row r="432" spans="1:2" x14ac:dyDescent="0.2">
      <c r="A432" s="2" t="s">
        <v>854</v>
      </c>
      <c r="B432" s="22">
        <v>1.1599999999999999</v>
      </c>
    </row>
    <row r="433" spans="1:2" x14ac:dyDescent="0.2">
      <c r="A433" s="2" t="s">
        <v>855</v>
      </c>
      <c r="B433" s="22">
        <v>1.51</v>
      </c>
    </row>
    <row r="434" spans="1:2" x14ac:dyDescent="0.2">
      <c r="A434" s="2" t="s">
        <v>856</v>
      </c>
      <c r="B434" s="22">
        <v>0.71</v>
      </c>
    </row>
    <row r="435" spans="1:2" x14ac:dyDescent="0.2">
      <c r="A435" s="2" t="s">
        <v>857</v>
      </c>
      <c r="B435" s="22">
        <v>0.99</v>
      </c>
    </row>
    <row r="436" spans="1:2" x14ac:dyDescent="0.2">
      <c r="A436" s="2" t="s">
        <v>858</v>
      </c>
      <c r="B436" s="22">
        <v>0.77</v>
      </c>
    </row>
    <row r="437" spans="1:2" x14ac:dyDescent="0.2">
      <c r="A437" s="2" t="s">
        <v>859</v>
      </c>
      <c r="B437" s="22">
        <v>0.57999999999999996</v>
      </c>
    </row>
    <row r="438" spans="1:2" x14ac:dyDescent="0.2">
      <c r="A438" s="2" t="s">
        <v>860</v>
      </c>
      <c r="B438" s="22">
        <v>0.25</v>
      </c>
    </row>
    <row r="439" spans="1:2" x14ac:dyDescent="0.2">
      <c r="A439" s="2" t="s">
        <v>861</v>
      </c>
      <c r="B439" s="22">
        <v>0.51</v>
      </c>
    </row>
    <row r="440" spans="1:2" x14ac:dyDescent="0.2">
      <c r="A440" s="2" t="s">
        <v>862</v>
      </c>
      <c r="B440" s="22">
        <v>0.77</v>
      </c>
    </row>
    <row r="441" spans="1:2" x14ac:dyDescent="0.2">
      <c r="A441" s="2" t="s">
        <v>863</v>
      </c>
      <c r="B441" s="22">
        <v>1.1100000000000001</v>
      </c>
    </row>
    <row r="442" spans="1:2" x14ac:dyDescent="0.2">
      <c r="A442" s="2" t="s">
        <v>864</v>
      </c>
      <c r="B442" s="22">
        <v>0.9</v>
      </c>
    </row>
    <row r="443" spans="1:2" x14ac:dyDescent="0.2">
      <c r="A443" s="2" t="s">
        <v>865</v>
      </c>
      <c r="B443" s="22">
        <v>1.51</v>
      </c>
    </row>
    <row r="444" spans="1:2" x14ac:dyDescent="0.2">
      <c r="A444" s="2" t="s">
        <v>866</v>
      </c>
      <c r="B444" s="22">
        <v>0.95</v>
      </c>
    </row>
    <row r="445" spans="1:2" x14ac:dyDescent="0.2">
      <c r="A445" s="2" t="s">
        <v>867</v>
      </c>
      <c r="B445" s="22">
        <v>0.44</v>
      </c>
    </row>
    <row r="446" spans="1:2" x14ac:dyDescent="0.2">
      <c r="A446" s="2" t="s">
        <v>868</v>
      </c>
      <c r="B446" s="22">
        <v>0.64</v>
      </c>
    </row>
    <row r="447" spans="1:2" x14ac:dyDescent="0.2">
      <c r="A447" s="2" t="s">
        <v>869</v>
      </c>
      <c r="B447" s="22">
        <v>0.98</v>
      </c>
    </row>
    <row r="448" spans="1:2" x14ac:dyDescent="0.2">
      <c r="A448" s="2" t="s">
        <v>870</v>
      </c>
      <c r="B448" s="22">
        <v>0.47</v>
      </c>
    </row>
    <row r="449" spans="1:2" x14ac:dyDescent="0.2">
      <c r="A449" s="2" t="s">
        <v>871</v>
      </c>
      <c r="B449" s="22">
        <v>0.64</v>
      </c>
    </row>
    <row r="450" spans="1:2" x14ac:dyDescent="0.2">
      <c r="A450" s="2" t="s">
        <v>872</v>
      </c>
      <c r="B450" s="22">
        <v>0.31</v>
      </c>
    </row>
    <row r="451" spans="1:2" x14ac:dyDescent="0.2">
      <c r="A451" s="2" t="s">
        <v>873</v>
      </c>
      <c r="B451" s="22">
        <v>0.08</v>
      </c>
    </row>
    <row r="452" spans="1:2" x14ac:dyDescent="0.2">
      <c r="A452" s="2" t="s">
        <v>874</v>
      </c>
      <c r="B452" s="22">
        <v>0.17</v>
      </c>
    </row>
    <row r="453" spans="1:2" x14ac:dyDescent="0.2">
      <c r="A453" s="2" t="s">
        <v>875</v>
      </c>
      <c r="B453" s="22">
        <v>7.0000000000000007E-2</v>
      </c>
    </row>
    <row r="454" spans="1:2" x14ac:dyDescent="0.2">
      <c r="A454" s="2" t="s">
        <v>876</v>
      </c>
      <c r="B454" s="22">
        <v>0.14000000000000001</v>
      </c>
    </row>
    <row r="455" spans="1:2" x14ac:dyDescent="0.2">
      <c r="A455" s="2" t="s">
        <v>877</v>
      </c>
      <c r="B455" s="22">
        <v>0.42</v>
      </c>
    </row>
    <row r="456" spans="1:2" x14ac:dyDescent="0.2">
      <c r="A456" s="2" t="s">
        <v>878</v>
      </c>
      <c r="B456" s="22">
        <v>0.24</v>
      </c>
    </row>
    <row r="457" spans="1:2" x14ac:dyDescent="0.2">
      <c r="A457" s="2" t="s">
        <v>879</v>
      </c>
      <c r="B457" s="22">
        <v>0.32</v>
      </c>
    </row>
    <row r="458" spans="1:2" x14ac:dyDescent="0.2">
      <c r="A458" s="2" t="s">
        <v>880</v>
      </c>
      <c r="B458" s="22">
        <v>0.08</v>
      </c>
    </row>
    <row r="459" spans="1:2" x14ac:dyDescent="0.2">
      <c r="A459" s="2" t="s">
        <v>881</v>
      </c>
      <c r="B459" s="22">
        <v>0.36</v>
      </c>
    </row>
    <row r="460" spans="1:2" x14ac:dyDescent="0.2">
      <c r="A460" s="2" t="s">
        <v>882</v>
      </c>
      <c r="B460" s="22">
        <v>-0.3</v>
      </c>
    </row>
    <row r="461" spans="1:2" x14ac:dyDescent="0.2">
      <c r="A461" s="2" t="s">
        <v>883</v>
      </c>
      <c r="B461" s="22">
        <v>0.17</v>
      </c>
    </row>
    <row r="462" spans="1:2" x14ac:dyDescent="0.2">
      <c r="A462" s="2" t="s">
        <v>884</v>
      </c>
      <c r="B462" s="22">
        <v>-0.03</v>
      </c>
    </row>
    <row r="463" spans="1:2" x14ac:dyDescent="0.2">
      <c r="A463" s="2" t="s">
        <v>885</v>
      </c>
      <c r="B463" s="22">
        <v>-0.02</v>
      </c>
    </row>
    <row r="464" spans="1:2" x14ac:dyDescent="0.2">
      <c r="A464" s="2" t="s">
        <v>886</v>
      </c>
      <c r="B464" s="22">
        <v>0.37</v>
      </c>
    </row>
    <row r="465" spans="1:2" x14ac:dyDescent="0.2">
      <c r="A465" s="2" t="s">
        <v>887</v>
      </c>
      <c r="B465" s="22">
        <v>0.18</v>
      </c>
    </row>
    <row r="466" spans="1:2" x14ac:dyDescent="0.2">
      <c r="A466" s="2" t="s">
        <v>888</v>
      </c>
      <c r="B466" s="22">
        <v>0.26</v>
      </c>
    </row>
    <row r="467" spans="1:2" x14ac:dyDescent="0.2">
      <c r="A467" s="2" t="s">
        <v>889</v>
      </c>
      <c r="B467" s="22">
        <v>0.23</v>
      </c>
    </row>
    <row r="468" spans="1:2" x14ac:dyDescent="0.2">
      <c r="A468" s="2" t="s">
        <v>890</v>
      </c>
      <c r="B468" s="22">
        <v>0.18</v>
      </c>
    </row>
    <row r="469" spans="1:2" x14ac:dyDescent="0.2">
      <c r="A469" s="2" t="s">
        <v>891</v>
      </c>
      <c r="B469" s="22">
        <v>7.0000000000000007E-2</v>
      </c>
    </row>
    <row r="470" spans="1:2" x14ac:dyDescent="0.2">
      <c r="A470" s="2" t="s">
        <v>892</v>
      </c>
      <c r="B470" s="22">
        <v>0.21</v>
      </c>
    </row>
    <row r="471" spans="1:2" x14ac:dyDescent="0.2">
      <c r="A471" s="2" t="s">
        <v>893</v>
      </c>
      <c r="B471" s="22">
        <v>0.43</v>
      </c>
    </row>
    <row r="472" spans="1:2" x14ac:dyDescent="0.2">
      <c r="A472" s="2" t="s">
        <v>894</v>
      </c>
      <c r="B472" s="22">
        <v>1.43</v>
      </c>
    </row>
    <row r="473" spans="1:2" x14ac:dyDescent="0.2">
      <c r="A473" s="2" t="s">
        <v>895</v>
      </c>
      <c r="B473" s="22">
        <v>0.25</v>
      </c>
    </row>
    <row r="474" spans="1:2" x14ac:dyDescent="0.2">
      <c r="A474" s="2" t="s">
        <v>896</v>
      </c>
      <c r="B474" s="22">
        <v>0</v>
      </c>
    </row>
    <row r="475" spans="1:2" x14ac:dyDescent="0.2">
      <c r="A475" s="2" t="s">
        <v>897</v>
      </c>
      <c r="B475" s="22">
        <v>0.3</v>
      </c>
    </row>
    <row r="476" spans="1:2" x14ac:dyDescent="0.2">
      <c r="A476" s="2" t="s">
        <v>898</v>
      </c>
      <c r="B476" s="22">
        <v>0.4</v>
      </c>
    </row>
    <row r="477" spans="1:2" x14ac:dyDescent="0.2">
      <c r="A477" s="2" t="s">
        <v>899</v>
      </c>
      <c r="B477" s="22">
        <v>-0.25</v>
      </c>
    </row>
    <row r="478" spans="1:2" x14ac:dyDescent="0.2">
      <c r="A478" s="2" t="s">
        <v>900</v>
      </c>
      <c r="B478" s="22">
        <v>0.14000000000000001</v>
      </c>
    </row>
    <row r="479" spans="1:2" x14ac:dyDescent="0.2">
      <c r="A479" s="2" t="s">
        <v>901</v>
      </c>
      <c r="B479" s="22">
        <v>0.36</v>
      </c>
    </row>
    <row r="480" spans="1:2" x14ac:dyDescent="0.2">
      <c r="A480" s="2" t="s">
        <v>902</v>
      </c>
      <c r="B480" s="22">
        <v>0.54</v>
      </c>
    </row>
    <row r="481" spans="1:2" x14ac:dyDescent="0.2">
      <c r="A481" s="2" t="s">
        <v>903</v>
      </c>
      <c r="B481" s="22">
        <v>0.77</v>
      </c>
    </row>
    <row r="482" spans="1:2" x14ac:dyDescent="0.2">
      <c r="A482" s="2" t="s">
        <v>904</v>
      </c>
      <c r="B482" s="22">
        <v>0.6</v>
      </c>
    </row>
    <row r="483" spans="1:2" x14ac:dyDescent="0.2">
      <c r="A483" s="2" t="s">
        <v>905</v>
      </c>
      <c r="B483" s="22">
        <v>0.15</v>
      </c>
    </row>
    <row r="484" spans="1:2" x14ac:dyDescent="0.2">
      <c r="A484" s="2" t="s">
        <v>906</v>
      </c>
      <c r="B484" s="22">
        <v>0.01</v>
      </c>
    </row>
    <row r="485" spans="1:2" x14ac:dyDescent="0.2">
      <c r="A485" s="2" t="s">
        <v>907</v>
      </c>
      <c r="B485" s="22">
        <v>0.1</v>
      </c>
    </row>
    <row r="486" spans="1:2" x14ac:dyDescent="0.2">
      <c r="A486" s="2" t="s">
        <v>908</v>
      </c>
      <c r="B486" s="22">
        <v>0.12</v>
      </c>
    </row>
    <row r="487" spans="1:2" x14ac:dyDescent="0.2">
      <c r="A487" s="2" t="s">
        <v>909</v>
      </c>
      <c r="B487" s="22">
        <v>-0.05</v>
      </c>
    </row>
    <row r="488" spans="1:2" x14ac:dyDescent="0.2">
      <c r="A488" s="2" t="s">
        <v>910</v>
      </c>
      <c r="B488" s="22">
        <v>0.04</v>
      </c>
    </row>
    <row r="489" spans="1:2" x14ac:dyDescent="0.2">
      <c r="A489" s="2" t="s">
        <v>911</v>
      </c>
      <c r="B489" s="22">
        <v>0.54</v>
      </c>
    </row>
    <row r="490" spans="1:2" x14ac:dyDescent="0.2">
      <c r="A490" s="2" t="s">
        <v>912</v>
      </c>
      <c r="B490" s="22">
        <v>1.22</v>
      </c>
    </row>
    <row r="491" spans="1:2" x14ac:dyDescent="0.2">
      <c r="A491" s="2" t="s">
        <v>913</v>
      </c>
      <c r="B491" s="22">
        <v>0.19</v>
      </c>
    </row>
    <row r="492" spans="1:2" x14ac:dyDescent="0.2">
      <c r="A492" s="2" t="s">
        <v>914</v>
      </c>
      <c r="B492" s="22">
        <v>0.17</v>
      </c>
    </row>
    <row r="493" spans="1:2" x14ac:dyDescent="0.2">
      <c r="A493" s="2" t="s">
        <v>915</v>
      </c>
      <c r="B493" s="22">
        <v>0.18</v>
      </c>
    </row>
    <row r="494" spans="1:2" x14ac:dyDescent="0.2">
      <c r="A494" s="2" t="s">
        <v>916</v>
      </c>
      <c r="B494" s="22">
        <v>-0.23</v>
      </c>
    </row>
    <row r="495" spans="1:2" x14ac:dyDescent="0.2">
      <c r="A495" s="2" t="s">
        <v>917</v>
      </c>
      <c r="B495" s="22">
        <v>-0.25</v>
      </c>
    </row>
    <row r="496" spans="1:2" x14ac:dyDescent="0.2">
      <c r="A496" s="2" t="s">
        <v>918</v>
      </c>
      <c r="B496" s="22">
        <v>0.3</v>
      </c>
    </row>
    <row r="497" spans="1:2" x14ac:dyDescent="0.2">
      <c r="A497" s="2" t="s">
        <v>919</v>
      </c>
      <c r="B497" s="22">
        <v>0.44</v>
      </c>
    </row>
    <row r="498" spans="1:2" x14ac:dyDescent="0.2">
      <c r="A498" s="2" t="s">
        <v>920</v>
      </c>
      <c r="B498" s="22">
        <v>0.36</v>
      </c>
    </row>
    <row r="499" spans="1:2" x14ac:dyDescent="0.2">
      <c r="A499" s="2" t="s">
        <v>921</v>
      </c>
      <c r="B499" s="22">
        <v>0.87</v>
      </c>
    </row>
    <row r="500" spans="1:2" x14ac:dyDescent="0.2">
      <c r="A500" s="2" t="s">
        <v>922</v>
      </c>
      <c r="B500" s="22">
        <v>0.89</v>
      </c>
    </row>
    <row r="501" spans="1:2" x14ac:dyDescent="0.2">
      <c r="A501" s="2" t="s">
        <v>923</v>
      </c>
      <c r="B501" s="22">
        <v>0.95</v>
      </c>
    </row>
    <row r="502" spans="1:2" x14ac:dyDescent="0.2">
      <c r="A502" s="2" t="s">
        <v>924</v>
      </c>
      <c r="B502" s="22">
        <v>1.46</v>
      </c>
    </row>
    <row r="503" spans="1:2" x14ac:dyDescent="0.2">
      <c r="A503" s="2" t="s">
        <v>925</v>
      </c>
      <c r="B503" s="22">
        <v>0.27</v>
      </c>
    </row>
    <row r="504" spans="1:2" x14ac:dyDescent="0.2">
      <c r="A504" s="2" t="s">
        <v>926</v>
      </c>
      <c r="B504" s="22">
        <v>0.82</v>
      </c>
    </row>
    <row r="505" spans="1:2" x14ac:dyDescent="0.2">
      <c r="A505" s="2" t="s">
        <v>927</v>
      </c>
      <c r="B505" s="22">
        <v>0.86</v>
      </c>
    </row>
    <row r="506" spans="1:2" x14ac:dyDescent="0.2">
      <c r="A506" s="2" t="s">
        <v>928</v>
      </c>
      <c r="B506" s="22">
        <v>0.38</v>
      </c>
    </row>
    <row r="507" spans="1:2" x14ac:dyDescent="0.2">
      <c r="A507" s="2" t="s">
        <v>929</v>
      </c>
      <c r="B507" s="22">
        <v>0.96</v>
      </c>
    </row>
    <row r="508" spans="1:2" x14ac:dyDescent="0.2">
      <c r="A508" s="2" t="s">
        <v>930</v>
      </c>
      <c r="B508" s="22">
        <v>0.6</v>
      </c>
    </row>
    <row r="509" spans="1:2" x14ac:dyDescent="0.2">
      <c r="A509" s="2" t="s">
        <v>931</v>
      </c>
      <c r="B509" s="22">
        <v>1.02</v>
      </c>
    </row>
    <row r="510" spans="1:2" x14ac:dyDescent="0.2">
      <c r="A510" s="2" t="s">
        <v>932</v>
      </c>
      <c r="B510" s="22">
        <v>0.88</v>
      </c>
    </row>
    <row r="511" spans="1:2" x14ac:dyDescent="0.2">
      <c r="A511" s="2" t="s">
        <v>933</v>
      </c>
      <c r="B511" s="22">
        <v>1.2</v>
      </c>
    </row>
    <row r="512" spans="1:2" x14ac:dyDescent="0.2">
      <c r="A512" s="2" t="s">
        <v>934</v>
      </c>
      <c r="B512" s="22">
        <v>1.1599999999999999</v>
      </c>
    </row>
    <row r="513" spans="1:2" x14ac:dyDescent="0.2">
      <c r="A513" s="2" t="s">
        <v>935</v>
      </c>
      <c r="B513" s="22">
        <v>0.84</v>
      </c>
    </row>
    <row r="514" spans="1:2" x14ac:dyDescent="0.2">
      <c r="A514" s="2" t="s">
        <v>936</v>
      </c>
      <c r="B514" s="22">
        <v>0.73</v>
      </c>
    </row>
    <row r="515" spans="1:2" x14ac:dyDescent="0.2">
      <c r="A515" s="2" t="s">
        <v>937</v>
      </c>
      <c r="B515" s="22">
        <v>0.67</v>
      </c>
    </row>
    <row r="516" spans="1:2" x14ac:dyDescent="0.2">
      <c r="A516" s="2" t="s">
        <v>938</v>
      </c>
      <c r="B516" s="22">
        <v>1</v>
      </c>
    </row>
    <row r="517" spans="1:2" x14ac:dyDescent="0.2">
      <c r="A517" s="2" t="s">
        <v>939</v>
      </c>
      <c r="B517" s="22">
        <v>1.71</v>
      </c>
    </row>
    <row r="518" spans="1:2" x14ac:dyDescent="0.2">
      <c r="A518" s="2" t="s">
        <v>940</v>
      </c>
      <c r="B518" s="22">
        <v>1.04</v>
      </c>
    </row>
    <row r="519" spans="1:2" x14ac:dyDescent="0.2">
      <c r="A519" s="2" t="s">
        <v>941</v>
      </c>
      <c r="B519" s="22">
        <v>0.45</v>
      </c>
    </row>
    <row r="520" spans="1:2" x14ac:dyDescent="0.2">
      <c r="A520" s="2" t="s">
        <v>942</v>
      </c>
      <c r="B520" s="22">
        <v>0.62</v>
      </c>
    </row>
    <row r="521" spans="1:2" x14ac:dyDescent="0.2">
      <c r="A521" s="2" t="s">
        <v>943</v>
      </c>
      <c r="B521" s="22">
        <v>-0.6</v>
      </c>
    </row>
    <row r="522" spans="1:2" x14ac:dyDescent="0.2">
      <c r="A522" s="2" t="s">
        <v>944</v>
      </c>
      <c r="B522" s="22">
        <v>-0.31</v>
      </c>
    </row>
    <row r="523" spans="1:2" x14ac:dyDescent="0.2">
      <c r="A523" s="2" t="s">
        <v>945</v>
      </c>
      <c r="B523" s="22">
        <v>-0.32</v>
      </c>
    </row>
    <row r="524" spans="1:2" x14ac:dyDescent="0.2">
      <c r="A524" s="2" t="s">
        <v>946</v>
      </c>
      <c r="B524" s="22">
        <v>0.47</v>
      </c>
    </row>
    <row r="525" spans="1:2" x14ac:dyDescent="0.2">
      <c r="A525" s="2" t="s">
        <v>947</v>
      </c>
      <c r="B525" s="22">
        <v>0.38</v>
      </c>
    </row>
    <row r="526" spans="1:2" x14ac:dyDescent="0.2">
      <c r="A526" s="2" t="s">
        <v>948</v>
      </c>
      <c r="B526" s="22">
        <v>0.69</v>
      </c>
    </row>
    <row r="527" spans="1:2" x14ac:dyDescent="0.2">
      <c r="A527" s="2" t="s">
        <v>949</v>
      </c>
      <c r="B527" s="22">
        <v>0.46</v>
      </c>
    </row>
    <row r="528" spans="1:2" x14ac:dyDescent="0.2">
      <c r="A528" s="2" t="s">
        <v>950</v>
      </c>
      <c r="B528" s="22">
        <v>0.77</v>
      </c>
    </row>
    <row r="529" spans="1:2" x14ac:dyDescent="0.2">
      <c r="A529" s="2" t="s">
        <v>951</v>
      </c>
      <c r="B529" s="22">
        <v>0.64</v>
      </c>
    </row>
    <row r="530" spans="1:2" x14ac:dyDescent="0.2">
      <c r="A530" s="2" t="s">
        <v>952</v>
      </c>
      <c r="B530" s="22">
        <v>0.53</v>
      </c>
    </row>
    <row r="531" spans="1:2" x14ac:dyDescent="0.2">
      <c r="A531" s="2" t="s">
        <v>953</v>
      </c>
      <c r="B531" s="22">
        <v>0.36</v>
      </c>
    </row>
    <row r="532" spans="1:2" x14ac:dyDescent="0.2">
      <c r="A532" s="2" t="s">
        <v>954</v>
      </c>
      <c r="B532" s="22">
        <v>-0.1</v>
      </c>
    </row>
    <row r="533" spans="1:2" x14ac:dyDescent="0.2">
      <c r="A533" s="2" t="s">
        <v>955</v>
      </c>
      <c r="B533" s="22">
        <v>-0.09</v>
      </c>
    </row>
    <row r="534" spans="1:2" x14ac:dyDescent="0.2">
      <c r="A534" s="2" t="s">
        <v>956</v>
      </c>
      <c r="B534" s="22">
        <v>0.2</v>
      </c>
    </row>
    <row r="535" spans="1:2" x14ac:dyDescent="0.2">
      <c r="A535" s="2" t="s">
        <v>957</v>
      </c>
      <c r="B535" s="22">
        <v>0.11</v>
      </c>
    </row>
    <row r="536" spans="1:2" x14ac:dyDescent="0.2">
      <c r="A536" s="2" t="s">
        <v>958</v>
      </c>
      <c r="B536" s="22">
        <v>0.12</v>
      </c>
    </row>
    <row r="537" spans="1:2" x14ac:dyDescent="0.2">
      <c r="A537" s="2" t="s">
        <v>959</v>
      </c>
      <c r="B537" s="22">
        <v>0.1</v>
      </c>
    </row>
    <row r="538" spans="1:2" x14ac:dyDescent="0.2">
      <c r="A538" s="2" t="s">
        <v>960</v>
      </c>
      <c r="B538" s="22">
        <v>0.55000000000000004</v>
      </c>
    </row>
    <row r="539" spans="1:2" x14ac:dyDescent="0.2">
      <c r="A539" s="2" t="s">
        <v>961</v>
      </c>
      <c r="B539" s="22">
        <v>0.56999999999999995</v>
      </c>
    </row>
    <row r="540" spans="1:2" x14ac:dyDescent="0.2">
      <c r="A540" s="2" t="s">
        <v>962</v>
      </c>
      <c r="B540" s="22">
        <v>0.81</v>
      </c>
    </row>
    <row r="541" spans="1:2" x14ac:dyDescent="0.2">
      <c r="A541" s="2" t="s">
        <v>963</v>
      </c>
      <c r="B541" s="22">
        <v>0.19</v>
      </c>
    </row>
    <row r="542" spans="1:2" x14ac:dyDescent="0.2">
      <c r="A542" s="2" t="s">
        <v>964</v>
      </c>
      <c r="B542" s="22">
        <v>0.37</v>
      </c>
    </row>
    <row r="543" spans="1:2" x14ac:dyDescent="0.2">
      <c r="A543" s="2" t="s">
        <v>965</v>
      </c>
      <c r="B543" s="22">
        <v>0.46</v>
      </c>
    </row>
    <row r="544" spans="1:2" x14ac:dyDescent="0.2">
      <c r="A544" s="2" t="s">
        <v>966</v>
      </c>
      <c r="B544" s="22">
        <v>0.25</v>
      </c>
    </row>
    <row r="545" spans="1:2" x14ac:dyDescent="0.2">
      <c r="A545" s="2" t="s">
        <v>967</v>
      </c>
      <c r="B545" s="22">
        <v>0.26</v>
      </c>
    </row>
    <row r="546" spans="1:2" x14ac:dyDescent="0.2">
      <c r="A546" s="2" t="s">
        <v>968</v>
      </c>
      <c r="B546" s="22">
        <v>-0.14000000000000001</v>
      </c>
    </row>
    <row r="547" spans="1:2" x14ac:dyDescent="0.2">
      <c r="A547" s="2" t="s">
        <v>969</v>
      </c>
      <c r="B547" s="22">
        <v>0.48</v>
      </c>
    </row>
    <row r="548" spans="1:2" x14ac:dyDescent="0.2">
      <c r="A548" s="2" t="s">
        <v>970</v>
      </c>
      <c r="B548" s="22">
        <v>0.61</v>
      </c>
    </row>
    <row r="549" spans="1:2" x14ac:dyDescent="0.2">
      <c r="A549" s="2" t="s">
        <v>971</v>
      </c>
      <c r="B549" s="22">
        <v>0.33</v>
      </c>
    </row>
    <row r="550" spans="1:2" x14ac:dyDescent="0.2">
      <c r="A550" s="2" t="s">
        <v>972</v>
      </c>
      <c r="B550" s="22">
        <v>0.48</v>
      </c>
    </row>
    <row r="551" spans="1:2" x14ac:dyDescent="0.2">
      <c r="A551" s="2" t="s">
        <v>973</v>
      </c>
      <c r="B551" s="22">
        <v>0</v>
      </c>
    </row>
    <row r="552" spans="1:2" x14ac:dyDescent="0.2">
      <c r="A552" s="2" t="s">
        <v>974</v>
      </c>
      <c r="B552" s="22">
        <v>1.48</v>
      </c>
    </row>
    <row r="553" spans="1:2" x14ac:dyDescent="0.2">
      <c r="A553" s="2" t="s">
        <v>975</v>
      </c>
      <c r="B553" s="22">
        <v>0.51</v>
      </c>
    </row>
    <row r="554" spans="1:2" x14ac:dyDescent="0.2">
      <c r="A554" s="2" t="s">
        <v>976</v>
      </c>
      <c r="B554" s="22">
        <v>0.48</v>
      </c>
    </row>
    <row r="555" spans="1:2" x14ac:dyDescent="0.2">
      <c r="A555" s="2" t="s">
        <v>977</v>
      </c>
      <c r="B555" s="22">
        <v>0.35</v>
      </c>
    </row>
    <row r="556" spans="1:2" x14ac:dyDescent="0.2">
      <c r="A556" s="2" t="s">
        <v>978</v>
      </c>
      <c r="B556" s="22">
        <v>0.23</v>
      </c>
    </row>
    <row r="557" spans="1:2" x14ac:dyDescent="0.2">
      <c r="A557" s="2" t="s">
        <v>979</v>
      </c>
      <c r="B557" s="22">
        <v>0.21</v>
      </c>
    </row>
    <row r="558" spans="1:2" x14ac:dyDescent="0.2">
      <c r="A558" s="2" t="s">
        <v>980</v>
      </c>
      <c r="B558" s="22">
        <v>-0.21</v>
      </c>
    </row>
    <row r="559" spans="1:2" x14ac:dyDescent="0.2">
      <c r="A559" s="2" t="s">
        <v>981</v>
      </c>
      <c r="B559" s="22">
        <v>0.52</v>
      </c>
    </row>
    <row r="560" spans="1:2" x14ac:dyDescent="0.2">
      <c r="A560" s="2" t="s">
        <v>991</v>
      </c>
      <c r="B560" s="22">
        <v>0.03</v>
      </c>
    </row>
    <row r="561" spans="1:2" x14ac:dyDescent="0.2">
      <c r="A561" s="2" t="s">
        <v>992</v>
      </c>
      <c r="B561" s="22">
        <v>0.03</v>
      </c>
    </row>
    <row r="562" spans="1:2" x14ac:dyDescent="0.2">
      <c r="A562" s="2" t="s">
        <v>993</v>
      </c>
      <c r="B562" s="22">
        <v>0.21</v>
      </c>
    </row>
    <row r="563" spans="1:2" x14ac:dyDescent="0.2">
      <c r="A563" s="2" t="s">
        <v>994</v>
      </c>
      <c r="B563" s="22">
        <v>0.39</v>
      </c>
    </row>
    <row r="564" spans="1:2" x14ac:dyDescent="0.2">
      <c r="A564" s="2" t="s">
        <v>995</v>
      </c>
      <c r="B564" s="22">
        <v>0.56000000000000005</v>
      </c>
    </row>
    <row r="565" spans="1:2" x14ac:dyDescent="0.2">
      <c r="A565" s="2" t="s">
        <v>996</v>
      </c>
      <c r="B565" s="22">
        <v>0.91</v>
      </c>
    </row>
    <row r="566" spans="1:2" x14ac:dyDescent="0.2">
      <c r="A566" s="2" t="s">
        <v>997</v>
      </c>
      <c r="B566" s="22">
        <v>0.81</v>
      </c>
    </row>
    <row r="567" spans="1:2" x14ac:dyDescent="0.2">
      <c r="A567" s="2" t="s">
        <v>998</v>
      </c>
      <c r="B567" s="22">
        <v>0.65</v>
      </c>
    </row>
    <row r="568" spans="1:2" x14ac:dyDescent="0.2">
      <c r="A568" s="2" t="s">
        <v>999</v>
      </c>
      <c r="B568" s="22">
        <v>0.14000000000000001</v>
      </c>
    </row>
    <row r="569" spans="1:2" x14ac:dyDescent="0.2">
      <c r="A569" s="2" t="s">
        <v>1000</v>
      </c>
      <c r="B569" s="22">
        <v>-0.01</v>
      </c>
    </row>
    <row r="570" spans="1:2" x14ac:dyDescent="0.2">
      <c r="A570" s="2"/>
      <c r="B570" s="2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780F-FC41-7047-B3A9-6FB4195890B2}">
  <sheetPr filterMode="1"/>
  <dimension ref="A1:I806"/>
  <sheetViews>
    <sheetView zoomScaleNormal="100" workbookViewId="0">
      <selection activeCell="A2" sqref="A2"/>
    </sheetView>
  </sheetViews>
  <sheetFormatPr baseColWidth="10" defaultRowHeight="16" x14ac:dyDescent="0.2"/>
  <cols>
    <col min="1" max="1" width="7.5" bestFit="1" customWidth="1"/>
    <col min="2" max="9" width="28.1640625" customWidth="1"/>
  </cols>
  <sheetData>
    <row r="1" spans="1:9" x14ac:dyDescent="0.2">
      <c r="A1" s="2"/>
      <c r="B1" s="2"/>
      <c r="C1" s="2"/>
      <c r="D1" s="4">
        <v>34516</v>
      </c>
      <c r="E1" s="2"/>
      <c r="F1" s="2"/>
      <c r="G1" s="2"/>
    </row>
    <row r="2" spans="1:9" ht="51" x14ac:dyDescent="0.2">
      <c r="A2" s="10" t="s">
        <v>0</v>
      </c>
      <c r="B2" s="10" t="s">
        <v>983</v>
      </c>
      <c r="C2" s="10" t="s">
        <v>984</v>
      </c>
      <c r="D2" s="10" t="s">
        <v>990</v>
      </c>
      <c r="E2" s="10" t="s">
        <v>985</v>
      </c>
      <c r="F2" s="10" t="s">
        <v>986</v>
      </c>
      <c r="G2" s="10" t="s">
        <v>987</v>
      </c>
    </row>
    <row r="3" spans="1:9" hidden="1" x14ac:dyDescent="0.2">
      <c r="A3" s="5">
        <v>21916</v>
      </c>
      <c r="B3" s="22">
        <f>IGP!B193</f>
        <v>1.56</v>
      </c>
      <c r="C3" s="17">
        <f>1+B3/100</f>
        <v>1.0156000000000001</v>
      </c>
      <c r="D3" s="17">
        <f>IF(A3&lt;$D$1,C3,C3*1.2225)</f>
        <v>1.0156000000000001</v>
      </c>
      <c r="E3" s="17"/>
      <c r="F3" s="17"/>
      <c r="G3" s="17"/>
    </row>
    <row r="4" spans="1:9" hidden="1" x14ac:dyDescent="0.2">
      <c r="A4" s="4">
        <v>21947</v>
      </c>
      <c r="B4" s="22">
        <f>IGP!B194</f>
        <v>2.46</v>
      </c>
      <c r="C4" s="17">
        <f>C3*(1+B4/100)</f>
        <v>1.0405837600000001</v>
      </c>
      <c r="D4" s="17">
        <f>IF(A4&lt;$D$1,C4,C4*1.2225)</f>
        <v>1.0405837600000001</v>
      </c>
      <c r="E4" s="17">
        <f>SQRT(D4*D3)</f>
        <v>1.0280159856033368</v>
      </c>
      <c r="F4" s="24">
        <f>E4/$E$507</f>
        <v>6.6930239427473928E-15</v>
      </c>
      <c r="G4" s="24">
        <f>E4/$E$753</f>
        <v>1.8474521931205338E-15</v>
      </c>
      <c r="I4" s="7"/>
    </row>
    <row r="5" spans="1:9" hidden="1" x14ac:dyDescent="0.2">
      <c r="A5" s="5">
        <v>21976</v>
      </c>
      <c r="B5" s="22">
        <f>IGP!B195</f>
        <v>1.5</v>
      </c>
      <c r="C5" s="17">
        <f>C4*(1+B5/100)</f>
        <v>1.0561925163999999</v>
      </c>
      <c r="D5" s="17">
        <f>IF(A5&lt;$D$1,C5,C5*1.2225)</f>
        <v>1.0561925163999999</v>
      </c>
      <c r="E5" s="17">
        <f>SQRT(D5*D4)</f>
        <v>1.0483590892434584</v>
      </c>
      <c r="F5" s="24">
        <f>E5/$E$507</f>
        <v>6.8254702097703863E-15</v>
      </c>
      <c r="G5" s="24">
        <f>E5/$E$753</f>
        <v>1.8840108769942714E-15</v>
      </c>
    </row>
    <row r="6" spans="1:9" hidden="1" x14ac:dyDescent="0.2">
      <c r="A6" s="5">
        <v>22007</v>
      </c>
      <c r="B6" s="22">
        <f>IGP!B196</f>
        <v>1.63</v>
      </c>
      <c r="C6" s="17">
        <f>C5*(1+B6/100)</f>
        <v>1.0734084544173199</v>
      </c>
      <c r="D6" s="17">
        <f>IF(A6&lt;$D$1,C6,C6*1.2225)</f>
        <v>1.0734084544173199</v>
      </c>
      <c r="E6" s="17">
        <f>SQRT(D6*D5)</f>
        <v>1.0647656909367731</v>
      </c>
      <c r="F6" s="24">
        <f>E6/$E$507</f>
        <v>6.932287398890289E-15</v>
      </c>
      <c r="G6" s="24">
        <f>E6/$E$753</f>
        <v>1.9134952553545749E-15</v>
      </c>
    </row>
    <row r="7" spans="1:9" hidden="1" x14ac:dyDescent="0.2">
      <c r="A7" s="5">
        <v>22037</v>
      </c>
      <c r="B7" s="22">
        <f>IGP!B197</f>
        <v>0.15</v>
      </c>
      <c r="C7" s="17">
        <f>C6*(1+B7/100)</f>
        <v>1.0750185670989461</v>
      </c>
      <c r="D7" s="17">
        <f>IF(A7&lt;$D$1,C7,C7*1.2225)</f>
        <v>1.0750185670989461</v>
      </c>
      <c r="E7" s="17">
        <f>SQRT(D7*D6)</f>
        <v>1.0742132090882153</v>
      </c>
      <c r="F7" s="24">
        <f>E7/$E$507</f>
        <v>6.9937966225528304E-15</v>
      </c>
      <c r="G7" s="24">
        <f>E7/$E$753</f>
        <v>1.9304734330997238E-15</v>
      </c>
    </row>
    <row r="8" spans="1:9" hidden="1" x14ac:dyDescent="0.2">
      <c r="A8" s="4">
        <v>22068</v>
      </c>
      <c r="B8" s="22">
        <f>IGP!B198</f>
        <v>0.57999999999999996</v>
      </c>
      <c r="C8" s="17">
        <f>C7*(1+B8/100)</f>
        <v>1.0812536747881201</v>
      </c>
      <c r="D8" s="17">
        <f>IF(A8&lt;$D$1,C8,C8*1.2225)</f>
        <v>1.0812536747881201</v>
      </c>
      <c r="E8" s="17">
        <f>SQRT(D8*D7)</f>
        <v>1.078131613552443</v>
      </c>
      <c r="F8" s="24">
        <f>E8/$E$507</f>
        <v>7.0193078745797656E-15</v>
      </c>
      <c r="G8" s="24">
        <f>E8/$E$753</f>
        <v>1.9375152155450836E-15</v>
      </c>
    </row>
    <row r="9" spans="1:9" hidden="1" x14ac:dyDescent="0.2">
      <c r="A9" s="5">
        <v>22098</v>
      </c>
      <c r="B9" s="22">
        <f>IGP!B199</f>
        <v>2.02</v>
      </c>
      <c r="C9" s="17">
        <f>C8*(1+B9/100)</f>
        <v>1.1030949990188401</v>
      </c>
      <c r="D9" s="17">
        <f>IF(A9&lt;$D$1,C9,C9*1.2225)</f>
        <v>1.1030949990188401</v>
      </c>
      <c r="E9" s="17">
        <f>SQRT(D9*D8)</f>
        <v>1.0921197376338907</v>
      </c>
      <c r="F9" s="24">
        <f>E9/$E$507</f>
        <v>7.1103792690934445E-15</v>
      </c>
      <c r="G9" s="24">
        <f>E9/$E$753</f>
        <v>1.9626533368134471E-15</v>
      </c>
    </row>
    <row r="10" spans="1:9" hidden="1" x14ac:dyDescent="0.2">
      <c r="A10" s="5">
        <v>22129</v>
      </c>
      <c r="B10" s="22">
        <f>IGP!B200</f>
        <v>2.97</v>
      </c>
      <c r="C10" s="17">
        <f>C9*(1+B10/100)</f>
        <v>1.1358569204896998</v>
      </c>
      <c r="D10" s="17">
        <f>IF(A10&lt;$D$1,C10,C10*1.2225)</f>
        <v>1.1358569204896998</v>
      </c>
      <c r="E10" s="17">
        <f>SQRT(D10*D9)</f>
        <v>1.1193561044605636</v>
      </c>
      <c r="F10" s="24">
        <f>E10/$E$507</f>
        <v>7.2877049700915532E-15</v>
      </c>
      <c r="G10" s="24">
        <f>E10/$E$753</f>
        <v>2.0115999352430822E-15</v>
      </c>
    </row>
    <row r="11" spans="1:9" hidden="1" x14ac:dyDescent="0.2">
      <c r="A11" s="5">
        <v>22160</v>
      </c>
      <c r="B11" s="22">
        <f>IGP!B201</f>
        <v>3.99</v>
      </c>
      <c r="C11" s="17">
        <f>C10*(1+B11/100)</f>
        <v>1.1811776116172388</v>
      </c>
      <c r="D11" s="17">
        <f>IF(A11&lt;$D$1,C11,C11*1.2225)</f>
        <v>1.1811776116172388</v>
      </c>
      <c r="E11" s="17">
        <f>SQRT(D11*D10)</f>
        <v>1.1582956291391828</v>
      </c>
      <c r="F11" s="24">
        <f>E11/$E$507</f>
        <v>7.5412255131989088E-15</v>
      </c>
      <c r="G11" s="24">
        <f>E11/$E$753</f>
        <v>2.0815783317602975E-15</v>
      </c>
    </row>
    <row r="12" spans="1:9" hidden="1" x14ac:dyDescent="0.2">
      <c r="A12" s="4">
        <v>22190</v>
      </c>
      <c r="B12" s="22">
        <f>IGP!B202</f>
        <v>5.03</v>
      </c>
      <c r="C12" s="17">
        <f>C11*(1+B12/100)</f>
        <v>1.2405908454815859</v>
      </c>
      <c r="D12" s="17">
        <f>IF(A12&lt;$D$1,C12,C12*1.2225)</f>
        <v>1.2405908454815859</v>
      </c>
      <c r="E12" s="17">
        <f>SQRT(D12*D11)</f>
        <v>1.2105197775584464</v>
      </c>
      <c r="F12" s="24">
        <f>E12/$E$507</f>
        <v>7.8812372257157942E-15</v>
      </c>
      <c r="G12" s="24">
        <f>E12/$E$753</f>
        <v>2.1754305858907587E-15</v>
      </c>
    </row>
    <row r="13" spans="1:9" hidden="1" x14ac:dyDescent="0.2">
      <c r="A13" s="5">
        <v>22221</v>
      </c>
      <c r="B13" s="22">
        <f>IGP!B203</f>
        <v>3.02</v>
      </c>
      <c r="C13" s="17">
        <f>C12*(1+B13/100)</f>
        <v>1.2780566890151299</v>
      </c>
      <c r="D13" s="17">
        <f>IF(A13&lt;$D$1,C13,C13*1.2225)</f>
        <v>1.2780566890151299</v>
      </c>
      <c r="E13" s="17">
        <f>SQRT(D13*D12)</f>
        <v>1.2591844298587385</v>
      </c>
      <c r="F13" s="24">
        <f>E13/$E$507</f>
        <v>8.1980744029316441E-15</v>
      </c>
      <c r="G13" s="24">
        <f>E13/$E$753</f>
        <v>2.2628860533919353E-15</v>
      </c>
    </row>
    <row r="14" spans="1:9" hidden="1" x14ac:dyDescent="0.2">
      <c r="A14" s="5">
        <v>22251</v>
      </c>
      <c r="B14" s="22">
        <f>IGP!B204</f>
        <v>2.08</v>
      </c>
      <c r="C14" s="17">
        <f>C13*(1+B14/100)</f>
        <v>1.3046402681466445</v>
      </c>
      <c r="D14" s="17">
        <f>IF(A14&lt;$D$1,C14,C14*1.2225)</f>
        <v>1.3046402681466445</v>
      </c>
      <c r="E14" s="17">
        <f>SQRT(D14*D13)</f>
        <v>1.2912800708844352</v>
      </c>
      <c r="F14" s="24">
        <f>E14/$E$507</f>
        <v>8.4070370035635206E-15</v>
      </c>
      <c r="G14" s="24">
        <f>E14/$E$753</f>
        <v>2.3205652755372338E-15</v>
      </c>
    </row>
    <row r="15" spans="1:9" hidden="1" x14ac:dyDescent="0.2">
      <c r="A15" s="5">
        <v>22282</v>
      </c>
      <c r="B15" s="22">
        <f>IGP!B205</f>
        <v>1.92</v>
      </c>
      <c r="C15" s="17">
        <f>C14*(1+B15/100)</f>
        <v>1.3296893612950602</v>
      </c>
      <c r="D15" s="17">
        <f>IF(A15&lt;$D$1,C15,C15*1.2225)</f>
        <v>1.3296893612950602</v>
      </c>
      <c r="E15" s="17">
        <f>SQRT(D15*D14)</f>
        <v>1.3171052671945882</v>
      </c>
      <c r="F15" s="24">
        <f>E15/$E$507</f>
        <v>8.5751751061325786E-15</v>
      </c>
      <c r="G15" s="24">
        <f>E15/$E$753</f>
        <v>2.3669758530273878E-15</v>
      </c>
    </row>
    <row r="16" spans="1:9" hidden="1" x14ac:dyDescent="0.2">
      <c r="A16" s="4">
        <v>22313</v>
      </c>
      <c r="B16" s="22">
        <f>IGP!B206</f>
        <v>0.35</v>
      </c>
      <c r="C16" s="17">
        <f>C15*(1+B16/100)</f>
        <v>1.3343432740595931</v>
      </c>
      <c r="D16" s="17">
        <f>IF(A16&lt;$D$1,C16,C16*1.2225)</f>
        <v>1.3343432740595931</v>
      </c>
      <c r="E16" s="17">
        <f>SQRT(D16*D15)</f>
        <v>1.3320142851458687</v>
      </c>
      <c r="F16" s="24">
        <f>E16/$E$507</f>
        <v>8.672242092938437E-15</v>
      </c>
      <c r="G16" s="24">
        <f>E16/$E$753</f>
        <v>2.3937689168484735E-15</v>
      </c>
    </row>
    <row r="17" spans="1:7" hidden="1" x14ac:dyDescent="0.2">
      <c r="A17" s="5">
        <v>22341</v>
      </c>
      <c r="B17" s="22">
        <f>IGP!B207</f>
        <v>2.11</v>
      </c>
      <c r="C17" s="17">
        <f>C16*(1+B17/100)</f>
        <v>1.3624979171422504</v>
      </c>
      <c r="D17" s="17">
        <f>IF(A17&lt;$D$1,C17,C17*1.2225)</f>
        <v>1.3624979171422504</v>
      </c>
      <c r="E17" s="17">
        <f>SQRT(D17*D16)</f>
        <v>1.348347110969192</v>
      </c>
      <c r="F17" s="24">
        <f>E17/$E$507</f>
        <v>8.7785789552237739E-15</v>
      </c>
      <c r="G17" s="24">
        <f>E17/$E$753</f>
        <v>2.4231207122580024E-15</v>
      </c>
    </row>
    <row r="18" spans="1:7" hidden="1" x14ac:dyDescent="0.2">
      <c r="A18" s="5">
        <v>22372</v>
      </c>
      <c r="B18" s="22">
        <f>IGP!B208</f>
        <v>4.93</v>
      </c>
      <c r="C18" s="17">
        <f>C17*(1+B18/100)</f>
        <v>1.4296690644573633</v>
      </c>
      <c r="D18" s="17">
        <f>IF(A18&lt;$D$1,C18,C18*1.2225)</f>
        <v>1.4296690644573633</v>
      </c>
      <c r="E18" s="17">
        <f>SQRT(D18*D17)</f>
        <v>1.3956794483425867</v>
      </c>
      <c r="F18" s="24">
        <f>E18/$E$507</f>
        <v>9.0867419329817525E-15</v>
      </c>
      <c r="G18" s="24">
        <f>E18/$E$753</f>
        <v>2.5081818705576747E-15</v>
      </c>
    </row>
    <row r="19" spans="1:7" hidden="1" x14ac:dyDescent="0.2">
      <c r="A19" s="4">
        <v>22402</v>
      </c>
      <c r="B19" s="22">
        <f>IGP!B209</f>
        <v>1.42</v>
      </c>
      <c r="C19" s="17">
        <f>C18*(1+B19/100)</f>
        <v>1.4499703651726579</v>
      </c>
      <c r="D19" s="17">
        <f>IF(A19&lt;$D$1,C19,C19*1.2225)</f>
        <v>1.4499703651726579</v>
      </c>
      <c r="E19" s="17">
        <f>SQRT(D19*D18)</f>
        <v>1.4397839336050722</v>
      </c>
      <c r="F19" s="24">
        <f>E19/$E$507</f>
        <v>9.3738895843590977E-15</v>
      </c>
      <c r="G19" s="24">
        <f>E19/$E$753</f>
        <v>2.5874422411800346E-15</v>
      </c>
    </row>
    <row r="20" spans="1:7" hidden="1" x14ac:dyDescent="0.2">
      <c r="A20" s="5">
        <v>22433</v>
      </c>
      <c r="B20" s="22">
        <f>IGP!B210</f>
        <v>1.51</v>
      </c>
      <c r="C20" s="17">
        <f>C19*(1+B20/100)</f>
        <v>1.4718649176867649</v>
      </c>
      <c r="D20" s="17">
        <f>IF(A20&lt;$D$1,C20,C20*1.2225)</f>
        <v>1.4718649176867649</v>
      </c>
      <c r="E20" s="17">
        <f>SQRT(D20*D19)</f>
        <v>1.4608766245590703</v>
      </c>
      <c r="F20" s="24">
        <f>E20/$E$507</f>
        <v>9.5112161313672418E-15</v>
      </c>
      <c r="G20" s="24">
        <f>E20/$E$753</f>
        <v>2.6253480118173536E-15</v>
      </c>
    </row>
    <row r="21" spans="1:7" hidden="1" x14ac:dyDescent="0.2">
      <c r="A21" s="5">
        <v>22463</v>
      </c>
      <c r="B21" s="22">
        <f>IGP!B211</f>
        <v>1.49</v>
      </c>
      <c r="C21" s="17">
        <f>C20*(1+B21/100)</f>
        <v>1.4937957049602975</v>
      </c>
      <c r="D21" s="17">
        <f>IF(A21&lt;$D$1,C21,C21*1.2225)</f>
        <v>1.4937957049602975</v>
      </c>
      <c r="E21" s="17">
        <f>SQRT(D21*D20)</f>
        <v>1.4827897667310195</v>
      </c>
      <c r="F21" s="24">
        <f>E21/$E$507</f>
        <v>9.6538843264844664E-15</v>
      </c>
      <c r="G21" s="24">
        <f>E21/$E$753</f>
        <v>2.6647282190618643E-15</v>
      </c>
    </row>
    <row r="22" spans="1:7" hidden="1" x14ac:dyDescent="0.2">
      <c r="A22" s="5">
        <v>22494</v>
      </c>
      <c r="B22" s="22">
        <f>IGP!B212</f>
        <v>5.23</v>
      </c>
      <c r="C22" s="17">
        <f>C21*(1+B22/100)</f>
        <v>1.571921220329721</v>
      </c>
      <c r="D22" s="17">
        <f>IF(A22&lt;$D$1,C22,C22*1.2225)</f>
        <v>1.571921220329721</v>
      </c>
      <c r="E22" s="17">
        <f>SQRT(D22*D21)</f>
        <v>1.5323606518912207</v>
      </c>
      <c r="F22" s="24">
        <f>E22/$E$507</f>
        <v>9.97662164369232E-15</v>
      </c>
      <c r="G22" s="24">
        <f>E22/$E$753</f>
        <v>2.7538122817482945E-15</v>
      </c>
    </row>
    <row r="23" spans="1:7" hidden="1" x14ac:dyDescent="0.2">
      <c r="A23" s="4">
        <v>22525</v>
      </c>
      <c r="B23" s="22">
        <f>IGP!B213</f>
        <v>4.17</v>
      </c>
      <c r="C23" s="17">
        <f>C22*(1+B23/100)</f>
        <v>1.6374703352174704</v>
      </c>
      <c r="D23" s="17">
        <f>IF(A23&lt;$D$1,C23,C23*1.2225)</f>
        <v>1.6374703352174704</v>
      </c>
      <c r="E23" s="17">
        <f>SQRT(D23*D22)</f>
        <v>1.6043610465193812</v>
      </c>
      <c r="F23" s="24">
        <f>E23/$E$507</f>
        <v>1.044538902852118E-14</v>
      </c>
      <c r="G23" s="24">
        <f>E23/$E$753</f>
        <v>2.8832045176902985E-15</v>
      </c>
    </row>
    <row r="24" spans="1:7" hidden="1" x14ac:dyDescent="0.2">
      <c r="A24" s="5">
        <v>22555</v>
      </c>
      <c r="B24" s="22">
        <f>IGP!B214</f>
        <v>8.3000000000000007</v>
      </c>
      <c r="C24" s="17">
        <f>C23*(1+B24/100)</f>
        <v>1.7733803730405204</v>
      </c>
      <c r="D24" s="17">
        <f>IF(A24&lt;$D$1,C24,C24*1.2225)</f>
        <v>1.7733803730405204</v>
      </c>
      <c r="E24" s="17">
        <f>SQRT(D24*D23)</f>
        <v>1.7040709357038937</v>
      </c>
      <c r="F24" s="24">
        <f>E24/$E$507</f>
        <v>1.1094562470361154E-14</v>
      </c>
      <c r="G24" s="24">
        <f>E24/$E$753</f>
        <v>3.0623936120521161E-15</v>
      </c>
    </row>
    <row r="25" spans="1:7" hidden="1" x14ac:dyDescent="0.2">
      <c r="A25" s="5">
        <v>22586</v>
      </c>
      <c r="B25" s="22">
        <f>IGP!B215</f>
        <v>4.8499999999999996</v>
      </c>
      <c r="C25" s="17">
        <f>C24*(1+B25/100)</f>
        <v>1.8593893211329857</v>
      </c>
      <c r="D25" s="17">
        <f>IF(A25&lt;$D$1,C25,C25*1.2225)</f>
        <v>1.8593893211329857</v>
      </c>
      <c r="E25" s="17">
        <f>SQRT(D25*D24)</f>
        <v>1.8158756917637215</v>
      </c>
      <c r="F25" s="24">
        <f>E25/$E$507</f>
        <v>1.1822481023867187E-14</v>
      </c>
      <c r="G25" s="24">
        <f>E25/$E$753</f>
        <v>3.2633184465650833E-15</v>
      </c>
    </row>
    <row r="26" spans="1:7" hidden="1" x14ac:dyDescent="0.2">
      <c r="A26" s="5">
        <v>22616</v>
      </c>
      <c r="B26" s="22">
        <f>IGP!B216</f>
        <v>3.7</v>
      </c>
      <c r="C26" s="17">
        <f>C25*(1+B26/100)</f>
        <v>1.9281867260149061</v>
      </c>
      <c r="D26" s="17">
        <f>IF(A26&lt;$D$1,C26,C26*1.2225)</f>
        <v>1.9281867260149061</v>
      </c>
      <c r="E26" s="17">
        <f>SQRT(D26*D25)</f>
        <v>1.893475589360077</v>
      </c>
      <c r="F26" s="24">
        <f>E26/$E$507</f>
        <v>1.2327704658363817E-14</v>
      </c>
      <c r="G26" s="24">
        <f>E26/$E$753</f>
        <v>3.402773574703171E-15</v>
      </c>
    </row>
    <row r="27" spans="1:7" hidden="1" x14ac:dyDescent="0.2">
      <c r="A27" s="4">
        <v>22647</v>
      </c>
      <c r="B27" s="22">
        <f>IGP!B217</f>
        <v>5.27</v>
      </c>
      <c r="C27" s="17">
        <f>C26*(1+B27/100)</f>
        <v>2.0298021664758918</v>
      </c>
      <c r="D27" s="17">
        <f>IF(A27&lt;$D$1,C27,C27*1.2225)</f>
        <v>2.0298021664758918</v>
      </c>
      <c r="E27" s="17">
        <f>SQRT(D27*D26)</f>
        <v>1.9783421326542872</v>
      </c>
      <c r="F27" s="24">
        <f>E27/$E$507</f>
        <v>1.2880238679391702E-14</v>
      </c>
      <c r="G27" s="24">
        <f>E27/$E$753</f>
        <v>3.5552876248027223E-15</v>
      </c>
    </row>
    <row r="28" spans="1:7" hidden="1" x14ac:dyDescent="0.2">
      <c r="A28" s="5">
        <v>22678</v>
      </c>
      <c r="B28" s="22">
        <f>IGP!B218</f>
        <v>1.69</v>
      </c>
      <c r="C28" s="17">
        <f>C27*(1+B28/100)</f>
        <v>2.0641058230893341</v>
      </c>
      <c r="D28" s="17">
        <f>IF(A28&lt;$D$1,C28,C28*1.2225)</f>
        <v>2.0641058230893341</v>
      </c>
      <c r="E28" s="17">
        <f>SQRT(D28*D27)</f>
        <v>2.0468821342574257</v>
      </c>
      <c r="F28" s="24">
        <f>E28/$E$507</f>
        <v>1.3326476751746696E-14</v>
      </c>
      <c r="G28" s="24">
        <f>E28/$E$753</f>
        <v>3.6784611727353342E-15</v>
      </c>
    </row>
    <row r="29" spans="1:7" hidden="1" x14ac:dyDescent="0.2">
      <c r="A29" s="5">
        <v>22706</v>
      </c>
      <c r="B29" s="22">
        <f>IGP!B219</f>
        <v>1.67</v>
      </c>
      <c r="C29" s="17">
        <f>C28*(1+B29/100)</f>
        <v>2.0985763903349257</v>
      </c>
      <c r="D29" s="17">
        <f>IF(A29&lt;$D$1,C29,C29*1.2225)</f>
        <v>2.0985763903349257</v>
      </c>
      <c r="E29" s="17">
        <f>SQRT(D29*D28)</f>
        <v>2.0812697440476366</v>
      </c>
      <c r="F29" s="24">
        <f>E29/$E$507</f>
        <v>1.3550361495644581E-14</v>
      </c>
      <c r="G29" s="24">
        <f>E29/$E$753</f>
        <v>3.7402593023488664E-15</v>
      </c>
    </row>
    <row r="30" spans="1:7" hidden="1" x14ac:dyDescent="0.2">
      <c r="A30" s="5">
        <v>22737</v>
      </c>
      <c r="B30" s="22">
        <f>IGP!B220</f>
        <v>0.82</v>
      </c>
      <c r="C30" s="17">
        <f>C29*(1+B30/100)</f>
        <v>2.1157847167356723</v>
      </c>
      <c r="D30" s="17">
        <f>IF(A30&lt;$D$1,C30,C30*1.2225)</f>
        <v>2.1157847167356723</v>
      </c>
      <c r="E30" s="17">
        <f>SQRT(D30*D29)</f>
        <v>2.1071629869502146</v>
      </c>
      <c r="F30" s="24">
        <f>E30/$E$507</f>
        <v>1.3718942623885129E-14</v>
      </c>
      <c r="G30" s="24">
        <f>E30/$E$753</f>
        <v>3.7867921666790791E-15</v>
      </c>
    </row>
    <row r="31" spans="1:7" hidden="1" x14ac:dyDescent="0.2">
      <c r="A31" s="4">
        <v>22767</v>
      </c>
      <c r="B31" s="22">
        <f>IGP!B221</f>
        <v>3.99</v>
      </c>
      <c r="C31" s="17">
        <f>C30*(1+B31/100)</f>
        <v>2.2002045269334256</v>
      </c>
      <c r="D31" s="17">
        <f>IF(A31&lt;$D$1,C31,C31*1.2225)</f>
        <v>2.2002045269334256</v>
      </c>
      <c r="E31" s="17">
        <f>SQRT(D31*D30)</f>
        <v>2.1575817740652106</v>
      </c>
      <c r="F31" s="24">
        <f>E31/$E$507</f>
        <v>1.4047200310585303E-14</v>
      </c>
      <c r="G31" s="24">
        <f>E31/$E$753</f>
        <v>3.8773999978164617E-15</v>
      </c>
    </row>
    <row r="32" spans="1:7" hidden="1" x14ac:dyDescent="0.2">
      <c r="A32" s="5">
        <v>22798</v>
      </c>
      <c r="B32" s="22">
        <f>IGP!B222</f>
        <v>3.12</v>
      </c>
      <c r="C32" s="17">
        <f>C31*(1+B32/100)</f>
        <v>2.2688509081737482</v>
      </c>
      <c r="D32" s="17">
        <f>IF(A32&lt;$D$1,C32,C32*1.2225)</f>
        <v>2.2688509081737482</v>
      </c>
      <c r="E32" s="17">
        <f>SQRT(D32*D31)</f>
        <v>2.2342640934099296</v>
      </c>
      <c r="F32" s="24">
        <f>E32/$E$507</f>
        <v>1.4546449939527981E-14</v>
      </c>
      <c r="G32" s="24">
        <f>E32/$E$753</f>
        <v>4.0152061419143342E-15</v>
      </c>
    </row>
    <row r="33" spans="1:7" hidden="1" x14ac:dyDescent="0.2">
      <c r="A33" s="5">
        <v>22828</v>
      </c>
      <c r="B33" s="22">
        <f>IGP!B223</f>
        <v>4.55</v>
      </c>
      <c r="C33" s="17">
        <f>C32*(1+B33/100)</f>
        <v>2.3720836244956538</v>
      </c>
      <c r="D33" s="17">
        <f>IF(A33&lt;$D$1,C33,C33*1.2225)</f>
        <v>2.3720836244956538</v>
      </c>
      <c r="E33" s="17">
        <f>SQRT(D33*D32)</f>
        <v>2.3198931194563772</v>
      </c>
      <c r="F33" s="24">
        <f>E33/$E$507</f>
        <v>1.5103948197871362E-14</v>
      </c>
      <c r="G33" s="24">
        <f>E33/$E$753</f>
        <v>4.1690904532282689E-15</v>
      </c>
    </row>
    <row r="34" spans="1:7" hidden="1" x14ac:dyDescent="0.2">
      <c r="A34" s="4">
        <v>22859</v>
      </c>
      <c r="B34" s="22">
        <f>IGP!B224</f>
        <v>2.83</v>
      </c>
      <c r="C34" s="17">
        <f>C33*(1+B34/100)</f>
        <v>2.4392135910688806</v>
      </c>
      <c r="D34" s="17">
        <f>IF(A34&lt;$D$1,C34,C34*1.2225)</f>
        <v>2.4392135910688806</v>
      </c>
      <c r="E34" s="17">
        <f>SQRT(D34*D33)</f>
        <v>2.4054144374767792</v>
      </c>
      <c r="F34" s="24">
        <f>E34/$E$507</f>
        <v>1.5660745209923591E-14</v>
      </c>
      <c r="G34" s="24">
        <f>E34/$E$753</f>
        <v>4.322781201959791E-15</v>
      </c>
    </row>
    <row r="35" spans="1:7" hidden="1" x14ac:dyDescent="0.2">
      <c r="A35" s="5">
        <v>22890</v>
      </c>
      <c r="B35" s="22">
        <f>IGP!B225</f>
        <v>2.11</v>
      </c>
      <c r="C35" s="17">
        <f>C34*(1+B35/100)</f>
        <v>2.4906809978404336</v>
      </c>
      <c r="D35" s="17">
        <f>IF(A35&lt;$D$1,C35,C35*1.2225)</f>
        <v>2.4906809978404336</v>
      </c>
      <c r="E35" s="17">
        <f>SQRT(D35*D34)</f>
        <v>2.4648129626706741</v>
      </c>
      <c r="F35" s="24">
        <f>E35/$E$507</f>
        <v>1.604746658084984E-14</v>
      </c>
      <c r="G35" s="24">
        <f>E35/$E$753</f>
        <v>4.429526561151052E-15</v>
      </c>
    </row>
    <row r="36" spans="1:7" hidden="1" x14ac:dyDescent="0.2">
      <c r="A36" s="5">
        <v>22920</v>
      </c>
      <c r="B36" s="22">
        <f>IGP!B226</f>
        <v>2.76</v>
      </c>
      <c r="C36" s="17">
        <f>C35*(1+B36/100)</f>
        <v>2.5594237933808297</v>
      </c>
      <c r="D36" s="17">
        <f>IF(A36&lt;$D$1,C36,C36*1.2225)</f>
        <v>2.5594237933808297</v>
      </c>
      <c r="E36" s="17">
        <f>SQRT(D36*D35)</f>
        <v>2.524818450422587</v>
      </c>
      <c r="F36" s="24">
        <f>E36/$E$507</f>
        <v>1.6438139655825497E-14</v>
      </c>
      <c r="G36" s="24">
        <f>E36/$E$753</f>
        <v>4.5373626955098743E-15</v>
      </c>
    </row>
    <row r="37" spans="1:7" hidden="1" x14ac:dyDescent="0.2">
      <c r="A37" s="5">
        <v>22951</v>
      </c>
      <c r="B37" s="22">
        <f>IGP!B227</f>
        <v>7.47</v>
      </c>
      <c r="C37" s="17">
        <f>C36*(1+B37/100)</f>
        <v>2.7506127507463778</v>
      </c>
      <c r="D37" s="17">
        <f>IF(A37&lt;$D$1,C37,C37*1.2225)</f>
        <v>2.7506127507463778</v>
      </c>
      <c r="E37" s="17">
        <f>SQRT(D37*D36)</f>
        <v>2.6532967645246495</v>
      </c>
      <c r="F37" s="24">
        <f>E37/$E$507</f>
        <v>1.7274613450446744E-14</v>
      </c>
      <c r="G37" s="24">
        <f>E37/$E$753</f>
        <v>4.7682516568493036E-15</v>
      </c>
    </row>
    <row r="38" spans="1:7" hidden="1" x14ac:dyDescent="0.2">
      <c r="A38" s="4">
        <v>22981</v>
      </c>
      <c r="B38" s="22">
        <f>IGP!B228</f>
        <v>6.27</v>
      </c>
      <c r="C38" s="17">
        <f>C37*(1+B38/100)</f>
        <v>2.9230761702181756</v>
      </c>
      <c r="D38" s="17">
        <f>IF(A38&lt;$D$1,C38,C38*1.2225)</f>
        <v>2.9230761702181756</v>
      </c>
      <c r="E38" s="17">
        <f>SQRT(D38*D37)</f>
        <v>2.8355335627012077</v>
      </c>
      <c r="F38" s="24">
        <f>E38/$E$507</f>
        <v>1.8461088437729637E-14</v>
      </c>
      <c r="G38" s="24">
        <f>E38/$E$753</f>
        <v>5.0957502338884098E-15</v>
      </c>
    </row>
    <row r="39" spans="1:7" hidden="1" x14ac:dyDescent="0.2">
      <c r="A39" s="5">
        <v>23012</v>
      </c>
      <c r="B39" s="22">
        <f>IGP!B229</f>
        <v>8.75</v>
      </c>
      <c r="C39" s="17">
        <f>C38*(1+B39/100)</f>
        <v>3.1788453351122659</v>
      </c>
      <c r="D39" s="17">
        <f>IF(A39&lt;$D$1,C39,C39*1.2225)</f>
        <v>3.1788453351122659</v>
      </c>
      <c r="E39" s="17">
        <f>SQRT(D39*D38)</f>
        <v>3.0482793585686787</v>
      </c>
      <c r="F39" s="24">
        <f>E39/$E$507</f>
        <v>1.9846195989947462E-14</v>
      </c>
      <c r="G39" s="24">
        <f>E39/$E$753</f>
        <v>5.4780766691352908E-15</v>
      </c>
    </row>
    <row r="40" spans="1:7" hidden="1" x14ac:dyDescent="0.2">
      <c r="A40" s="5">
        <v>23043</v>
      </c>
      <c r="B40" s="22">
        <f>IGP!B230</f>
        <v>5.95</v>
      </c>
      <c r="C40" s="17">
        <f>C39*(1+B40/100)</f>
        <v>3.367986632551446</v>
      </c>
      <c r="D40" s="17">
        <f>IF(A40&lt;$D$1,C40,C40*1.2225)</f>
        <v>3.367986632551446</v>
      </c>
      <c r="E40" s="17">
        <f>SQRT(D40*D39)</f>
        <v>3.2720496016421623</v>
      </c>
      <c r="F40" s="24">
        <f>E40/$E$507</f>
        <v>2.1303079555514041E-14</v>
      </c>
      <c r="G40" s="24">
        <f>E40/$E$753</f>
        <v>5.880215188487786E-15</v>
      </c>
    </row>
    <row r="41" spans="1:7" hidden="1" x14ac:dyDescent="0.2">
      <c r="A41" s="5">
        <v>23071</v>
      </c>
      <c r="B41" s="22">
        <f>IGP!B231</f>
        <v>5.53</v>
      </c>
      <c r="C41" s="17">
        <f>C40*(1+B41/100)</f>
        <v>3.5542362933315408</v>
      </c>
      <c r="D41" s="17">
        <f>IF(A41&lt;$D$1,C41,C41*1.2225)</f>
        <v>3.5542362933315408</v>
      </c>
      <c r="E41" s="17">
        <f>SQRT(D41*D40)</f>
        <v>3.4598584255529632</v>
      </c>
      <c r="F41" s="24">
        <f>E41/$E$507</f>
        <v>2.2525831898568791E-14</v>
      </c>
      <c r="G41" s="24">
        <f>E41/$E$753</f>
        <v>6.2177272782611406E-15</v>
      </c>
    </row>
    <row r="42" spans="1:7" hidden="1" x14ac:dyDescent="0.2">
      <c r="A42" s="4">
        <v>23102</v>
      </c>
      <c r="B42" s="22">
        <f>IGP!B232</f>
        <v>1.56</v>
      </c>
      <c r="C42" s="17">
        <f>C41*(1+B42/100)</f>
        <v>3.6096823795075133</v>
      </c>
      <c r="D42" s="17">
        <f>IF(A42&lt;$D$1,C42,C42*1.2225)</f>
        <v>3.6096823795075133</v>
      </c>
      <c r="E42" s="17">
        <f>SQRT(D42*D41)</f>
        <v>3.5818520517526906</v>
      </c>
      <c r="F42" s="24">
        <f>E42/$E$507</f>
        <v>2.3320086338628056E-14</v>
      </c>
      <c r="G42" s="24">
        <f>E42/$E$753</f>
        <v>6.4369625775421539E-15</v>
      </c>
    </row>
    <row r="43" spans="1:7" hidden="1" x14ac:dyDescent="0.2">
      <c r="A43" s="5">
        <v>23132</v>
      </c>
      <c r="B43" s="22">
        <f>IGP!B233</f>
        <v>4.08</v>
      </c>
      <c r="C43" s="17">
        <f>C42*(1+B43/100)</f>
        <v>3.7569574205914198</v>
      </c>
      <c r="D43" s="17">
        <f>IF(A43&lt;$D$1,C43,C43*1.2225)</f>
        <v>3.7569574205914198</v>
      </c>
      <c r="E43" s="17">
        <f>SQRT(D43*D42)</f>
        <v>3.6825837399397785</v>
      </c>
      <c r="F43" s="24">
        <f>E43/$E$507</f>
        <v>2.3975912327981578E-14</v>
      </c>
      <c r="G43" s="24">
        <f>E43/$E$753</f>
        <v>6.617987951528678E-15</v>
      </c>
    </row>
    <row r="44" spans="1:7" hidden="1" x14ac:dyDescent="0.2">
      <c r="A44" s="5">
        <v>23163</v>
      </c>
      <c r="B44" s="22">
        <f>IGP!B234</f>
        <v>5.03</v>
      </c>
      <c r="C44" s="17">
        <f>C43*(1+B44/100)</f>
        <v>3.9459323788471683</v>
      </c>
      <c r="D44" s="17">
        <f>IF(A44&lt;$D$1,C44,C44*1.2225)</f>
        <v>3.9459323788471683</v>
      </c>
      <c r="E44" s="17">
        <f>SQRT(D44*D43)</f>
        <v>3.8502856948364004</v>
      </c>
      <c r="F44" s="24">
        <f>E44/$E$507</f>
        <v>2.5067756438469689E-14</v>
      </c>
      <c r="G44" s="24">
        <f>E44/$E$753</f>
        <v>6.9193658957466681E-15</v>
      </c>
    </row>
    <row r="45" spans="1:7" hidden="1" x14ac:dyDescent="0.2">
      <c r="A45" s="5">
        <v>23193</v>
      </c>
      <c r="B45" s="22">
        <f>IGP!B235</f>
        <v>3.74</v>
      </c>
      <c r="C45" s="17">
        <f>C44*(1+B45/100)</f>
        <v>4.0935102498160525</v>
      </c>
      <c r="D45" s="17">
        <f>IF(A45&lt;$D$1,C45,C45*1.2225)</f>
        <v>4.0935102498160525</v>
      </c>
      <c r="E45" s="17">
        <f>SQRT(D45*D44)</f>
        <v>4.0190439955158395</v>
      </c>
      <c r="F45" s="24">
        <f>E45/$E$507</f>
        <v>2.6166478017513959E-14</v>
      </c>
      <c r="G45" s="24">
        <f>E45/$E$753</f>
        <v>7.2226422037649197E-15</v>
      </c>
    </row>
    <row r="46" spans="1:7" hidden="1" x14ac:dyDescent="0.2">
      <c r="A46" s="4">
        <v>23224</v>
      </c>
      <c r="B46" s="22">
        <f>IGP!B236</f>
        <v>3.67</v>
      </c>
      <c r="C46" s="17">
        <f>C45*(1+B46/100)</f>
        <v>4.2437420759843016</v>
      </c>
      <c r="D46" s="17">
        <f>IF(A46&lt;$D$1,C46,C46*1.2225)</f>
        <v>4.2437420759843016</v>
      </c>
      <c r="E46" s="17">
        <f>SQRT(D46*D45)</f>
        <v>4.1679493381778761</v>
      </c>
      <c r="F46" s="24">
        <f>E46/$E$507</f>
        <v>2.7135944482624518E-14</v>
      </c>
      <c r="G46" s="24">
        <f>E46/$E$753</f>
        <v>7.4902406708324256E-15</v>
      </c>
    </row>
    <row r="47" spans="1:7" hidden="1" x14ac:dyDescent="0.2">
      <c r="A47" s="5">
        <v>23255</v>
      </c>
      <c r="B47" s="22">
        <f>IGP!B237</f>
        <v>5.5</v>
      </c>
      <c r="C47" s="17">
        <f>C46*(1+B47/100)</f>
        <v>4.4771478901634376</v>
      </c>
      <c r="D47" s="17">
        <f>IF(A47&lt;$D$1,C47,C47*1.2225)</f>
        <v>4.4771478901634376</v>
      </c>
      <c r="E47" s="17">
        <f>SQRT(D47*D46)</f>
        <v>4.3588829855699176</v>
      </c>
      <c r="F47" s="24">
        <f>E47/$E$507</f>
        <v>2.8379041371551802E-14</v>
      </c>
      <c r="G47" s="24">
        <f>E47/$E$753</f>
        <v>7.8333683950651457E-15</v>
      </c>
    </row>
    <row r="48" spans="1:7" hidden="1" x14ac:dyDescent="0.2">
      <c r="A48" s="5">
        <v>23285</v>
      </c>
      <c r="B48" s="22">
        <f>IGP!B238</f>
        <v>6.15</v>
      </c>
      <c r="C48" s="17">
        <f>C47*(1+B48/100)</f>
        <v>4.7524924854084896</v>
      </c>
      <c r="D48" s="17">
        <f>IF(A48&lt;$D$1,C48,C48*1.2225)</f>
        <v>4.7524924854084896</v>
      </c>
      <c r="E48" s="17">
        <f>SQRT(D48*D47)</f>
        <v>4.6127661662026842</v>
      </c>
      <c r="F48" s="24">
        <f>E48/$E$507</f>
        <v>3.0031978904073431E-14</v>
      </c>
      <c r="G48" s="24">
        <f>E48/$E$753</f>
        <v>8.289623011165446E-15</v>
      </c>
    </row>
    <row r="49" spans="1:7" hidden="1" x14ac:dyDescent="0.2">
      <c r="A49" s="4">
        <v>23316</v>
      </c>
      <c r="B49" s="22">
        <f>IGP!B239</f>
        <v>4.45</v>
      </c>
      <c r="C49" s="17">
        <f>C48*(1+B49/100)</f>
        <v>4.9639784010091672</v>
      </c>
      <c r="D49" s="17">
        <f>IF(A49&lt;$D$1,C49,C49*1.2225)</f>
        <v>4.9639784010091672</v>
      </c>
      <c r="E49" s="17">
        <f>SQRT(D49*D48)</f>
        <v>4.8570845214517435</v>
      </c>
      <c r="F49" s="24">
        <f>E49/$E$507</f>
        <v>3.1622643469833961E-14</v>
      </c>
      <c r="G49" s="24">
        <f>E49/$E$753</f>
        <v>8.7286886361611225E-15</v>
      </c>
    </row>
    <row r="50" spans="1:7" hidden="1" x14ac:dyDescent="0.2">
      <c r="A50" s="5">
        <v>23346</v>
      </c>
      <c r="B50" s="22">
        <f>IGP!B240</f>
        <v>5.94</v>
      </c>
      <c r="C50" s="17">
        <f>C49*(1+B50/100)</f>
        <v>5.2588387180291116</v>
      </c>
      <c r="D50" s="17">
        <f>IF(A50&lt;$D$1,C50,C50*1.2225)</f>
        <v>5.2588387180291116</v>
      </c>
      <c r="E50" s="17">
        <f>SQRT(D50*D49)</f>
        <v>5.109281927109449</v>
      </c>
      <c r="F50" s="24">
        <f>E50/$E$507</f>
        <v>3.3264605557977114E-14</v>
      </c>
      <c r="G50" s="24">
        <f>E50/$E$753</f>
        <v>9.1819137384032724E-15</v>
      </c>
    </row>
    <row r="51" spans="1:7" hidden="1" x14ac:dyDescent="0.2">
      <c r="A51" s="5">
        <v>23377</v>
      </c>
      <c r="B51" s="22">
        <f>IGP!B241</f>
        <v>11.26</v>
      </c>
      <c r="C51" s="17">
        <f>C50*(1+B51/100)</f>
        <v>5.8509839576791896</v>
      </c>
      <c r="D51" s="17">
        <f>IF(A51&lt;$D$1,C51,C51*1.2225)</f>
        <v>5.8509839576791896</v>
      </c>
      <c r="E51" s="17">
        <f>SQRT(D51*D50)</f>
        <v>5.547015501619815</v>
      </c>
      <c r="F51" s="24">
        <f>E51/$E$507</f>
        <v>3.6114523590159096E-14</v>
      </c>
      <c r="G51" s="24">
        <f>E51/$E$753</f>
        <v>9.9685667316999195E-15</v>
      </c>
    </row>
    <row r="52" spans="1:7" hidden="1" x14ac:dyDescent="0.2">
      <c r="A52" s="5">
        <v>23408</v>
      </c>
      <c r="B52" s="22">
        <f>IGP!B242</f>
        <v>6.75</v>
      </c>
      <c r="C52" s="17">
        <f>C51*(1+B52/100)</f>
        <v>6.2459253748225345</v>
      </c>
      <c r="D52" s="17">
        <f>IF(A52&lt;$D$1,C52,C52*1.2225)</f>
        <v>6.2459253748225345</v>
      </c>
      <c r="E52" s="17">
        <f>SQRT(D52*D51)</f>
        <v>6.0452302825407758</v>
      </c>
      <c r="F52" s="24">
        <f>E52/$E$507</f>
        <v>3.9358211921890239E-14</v>
      </c>
      <c r="G52" s="24">
        <f>E52/$E$753</f>
        <v>1.0863910775515834E-14</v>
      </c>
    </row>
    <row r="53" spans="1:7" hidden="1" x14ac:dyDescent="0.2">
      <c r="A53" s="4">
        <v>23437</v>
      </c>
      <c r="B53" s="22">
        <f>IGP!B243</f>
        <v>7.44</v>
      </c>
      <c r="C53" s="17">
        <f>C52*(1+B53/100)</f>
        <v>6.7106222227093308</v>
      </c>
      <c r="D53" s="17">
        <f>IF(A53&lt;$D$1,C53,C53*1.2225)</f>
        <v>6.7106222227093308</v>
      </c>
      <c r="E53" s="17">
        <f>SQRT(D53*D52)</f>
        <v>6.4741057777633051</v>
      </c>
      <c r="F53" s="24">
        <f>E53/$E$507</f>
        <v>4.2150458344301045E-14</v>
      </c>
      <c r="G53" s="24">
        <f>E53/$E$753</f>
        <v>1.1634644874324136E-14</v>
      </c>
    </row>
    <row r="54" spans="1:7" hidden="1" x14ac:dyDescent="0.2">
      <c r="A54" s="5">
        <v>23468</v>
      </c>
      <c r="B54" s="22">
        <f>IGP!B244</f>
        <v>4.3899999999999997</v>
      </c>
      <c r="C54" s="17">
        <f>C53*(1+B54/100)</f>
        <v>7.0052185382862708</v>
      </c>
      <c r="D54" s="17">
        <f>IF(A54&lt;$D$1,C54,C54*1.2225)</f>
        <v>7.0052185382862708</v>
      </c>
      <c r="E54" s="17">
        <f>SQRT(D54*D53)</f>
        <v>6.8563383228921264</v>
      </c>
      <c r="F54" s="24">
        <f>E54/$E$507</f>
        <v>4.4639030129245643E-14</v>
      </c>
      <c r="G54" s="24">
        <f>E54/$E$753</f>
        <v>1.2321556715841703E-14</v>
      </c>
    </row>
    <row r="55" spans="1:7" hidden="1" x14ac:dyDescent="0.2">
      <c r="A55" s="5">
        <v>23498</v>
      </c>
      <c r="B55" s="22">
        <f>IGP!B245</f>
        <v>2.7</v>
      </c>
      <c r="C55" s="17">
        <f>C54*(1+B55/100)</f>
        <v>7.1943594388199994</v>
      </c>
      <c r="D55" s="17">
        <f>IF(A55&lt;$D$1,C55,C55*1.2225)</f>
        <v>7.1943594388199994</v>
      </c>
      <c r="E55" s="17">
        <f>SQRT(D55*D54)</f>
        <v>7.0991591130158982</v>
      </c>
      <c r="F55" s="24">
        <f>E55/$E$507</f>
        <v>4.621994461389874E-14</v>
      </c>
      <c r="G55" s="24">
        <f>E55/$E$753</f>
        <v>1.2757931059754403E-14</v>
      </c>
    </row>
    <row r="56" spans="1:7" hidden="1" x14ac:dyDescent="0.2">
      <c r="A56" s="5">
        <v>23529</v>
      </c>
      <c r="B56" s="22">
        <f>IGP!B246</f>
        <v>4.33</v>
      </c>
      <c r="C56" s="17">
        <f>C55*(1+B56/100)</f>
        <v>7.5058752025209046</v>
      </c>
      <c r="D56" s="17">
        <f>IF(A56&lt;$D$1,C56,C56*1.2225)</f>
        <v>7.5058752025209046</v>
      </c>
      <c r="E56" s="17">
        <f>SQRT(D56*D55)</f>
        <v>7.3484667863344963</v>
      </c>
      <c r="F56" s="24">
        <f>E56/$E$507</f>
        <v>4.7843092745834368E-14</v>
      </c>
      <c r="G56" s="24">
        <f>E56/$E$753</f>
        <v>1.3205963010895617E-14</v>
      </c>
    </row>
    <row r="57" spans="1:7" hidden="1" x14ac:dyDescent="0.2">
      <c r="A57" s="4">
        <v>23559</v>
      </c>
      <c r="B57" s="22">
        <f>IGP!B247</f>
        <v>6.45</v>
      </c>
      <c r="C57" s="17">
        <f>C56*(1+B57/100)</f>
        <v>7.9900041530835031</v>
      </c>
      <c r="D57" s="17">
        <f>IF(A57&lt;$D$1,C57,C57*1.2225)</f>
        <v>7.9900041530835031</v>
      </c>
      <c r="E57" s="17">
        <f>SQRT(D57*D56)</f>
        <v>7.7441574132160111</v>
      </c>
      <c r="F57" s="24">
        <f>E57/$E$507</f>
        <v>5.0419285019813836E-14</v>
      </c>
      <c r="G57" s="24">
        <f>E57/$E$753</f>
        <v>1.3917060432207079E-14</v>
      </c>
    </row>
    <row r="58" spans="1:7" hidden="1" x14ac:dyDescent="0.2">
      <c r="A58" s="5">
        <v>23590</v>
      </c>
      <c r="B58" s="22">
        <f>IGP!B248</f>
        <v>2.92</v>
      </c>
      <c r="C58" s="17">
        <f>C57*(1+B58/100)</f>
        <v>8.2233122743535407</v>
      </c>
      <c r="D58" s="17">
        <f>IF(A58&lt;$D$1,C58,C58*1.2225)</f>
        <v>8.2233122743535407</v>
      </c>
      <c r="E58" s="17">
        <f>SQRT(D58*D57)</f>
        <v>8.1058188497021906</v>
      </c>
      <c r="F58" s="24">
        <f>E58/$E$507</f>
        <v>5.2773926083249998E-14</v>
      </c>
      <c r="G58" s="24">
        <f>E58/$E$753</f>
        <v>1.4567003841026136E-14</v>
      </c>
    </row>
    <row r="59" spans="1:7" hidden="1" x14ac:dyDescent="0.2">
      <c r="A59" s="5">
        <v>23621</v>
      </c>
      <c r="B59" s="22">
        <f>IGP!B249</f>
        <v>3.75</v>
      </c>
      <c r="C59" s="17">
        <f>C58*(1+B59/100)</f>
        <v>8.5316864846417992</v>
      </c>
      <c r="D59" s="17">
        <f>IF(A59&lt;$D$1,C59,C59*1.2225)</f>
        <v>8.5316864846417992</v>
      </c>
      <c r="E59" s="17">
        <f>SQRT(D59*D58)</f>
        <v>8.3760803595769726</v>
      </c>
      <c r="F59" s="24">
        <f>E59/$E$507</f>
        <v>5.4533496733635717E-14</v>
      </c>
      <c r="G59" s="24">
        <f>E59/$E$753</f>
        <v>1.5052692026936202E-14</v>
      </c>
    </row>
    <row r="60" spans="1:7" hidden="1" x14ac:dyDescent="0.2">
      <c r="A60" s="5">
        <v>23651</v>
      </c>
      <c r="B60" s="22">
        <f>IGP!B250</f>
        <v>4.47</v>
      </c>
      <c r="C60" s="17">
        <f>C59*(1+B60/100)</f>
        <v>8.9130528705052878</v>
      </c>
      <c r="D60" s="17">
        <f>IF(A60&lt;$D$1,C60,C60*1.2225)</f>
        <v>8.9130528705052878</v>
      </c>
      <c r="E60" s="17">
        <f>SQRT(D60*D59)</f>
        <v>8.7202851279179949</v>
      </c>
      <c r="F60" s="24">
        <f>E60/$E$507</f>
        <v>5.6774484021748953E-14</v>
      </c>
      <c r="G60" s="24">
        <f>E60/$E$753</f>
        <v>1.5671263978208886E-14</v>
      </c>
    </row>
    <row r="61" spans="1:7" hidden="1" x14ac:dyDescent="0.2">
      <c r="A61" s="4">
        <v>23682</v>
      </c>
      <c r="B61" s="22">
        <f>IGP!B251</f>
        <v>6.96</v>
      </c>
      <c r="C61" s="17">
        <f>C60*(1+B61/100)</f>
        <v>9.5334013502924542</v>
      </c>
      <c r="D61" s="17">
        <f>IF(A61&lt;$D$1,C61,C61*1.2225)</f>
        <v>9.5334013502924542</v>
      </c>
      <c r="E61" s="17">
        <f>SQRT(D61*D60)</f>
        <v>9.2180101036450992</v>
      </c>
      <c r="F61" s="24">
        <f>E61/$E$507</f>
        <v>6.0014983416794615E-14</v>
      </c>
      <c r="G61" s="24">
        <f>E61/$E$753</f>
        <v>1.6565727790888062E-14</v>
      </c>
    </row>
    <row r="62" spans="1:7" hidden="1" x14ac:dyDescent="0.2">
      <c r="A62" s="5">
        <v>23712</v>
      </c>
      <c r="B62" s="22">
        <f>IGP!B252</f>
        <v>5.98</v>
      </c>
      <c r="C62" s="17">
        <f>C61*(1+B62/100)</f>
        <v>10.103498751039943</v>
      </c>
      <c r="D62" s="17">
        <f>IF(A62&lt;$D$1,C62,C62*1.2225)</f>
        <v>10.103498751039943</v>
      </c>
      <c r="E62" s="17">
        <f>SQRT(D62*D61)</f>
        <v>9.8143114193427916</v>
      </c>
      <c r="F62" s="24">
        <f>E62/$E$507</f>
        <v>6.3897276142733207E-14</v>
      </c>
      <c r="G62" s="24">
        <f>E62/$E$753</f>
        <v>1.7637343591492384E-14</v>
      </c>
    </row>
    <row r="63" spans="1:7" hidden="1" x14ac:dyDescent="0.2">
      <c r="A63" s="5">
        <v>23743</v>
      </c>
      <c r="B63" s="22">
        <f>IGP!B253</f>
        <v>4.82</v>
      </c>
      <c r="C63" s="17">
        <f>C62*(1+B63/100)</f>
        <v>10.590487390840069</v>
      </c>
      <c r="D63" s="17">
        <f>IF(A63&lt;$D$1,C63,C63*1.2225)</f>
        <v>10.590487390840069</v>
      </c>
      <c r="E63" s="17">
        <f>SQRT(D63*D62)</f>
        <v>10.344127615524515</v>
      </c>
      <c r="F63" s="24">
        <f>E63/$E$507</f>
        <v>6.7346709357741482E-14</v>
      </c>
      <c r="G63" s="24">
        <f>E63/$E$753</f>
        <v>1.8589478682088517E-14</v>
      </c>
    </row>
    <row r="64" spans="1:7" hidden="1" x14ac:dyDescent="0.2">
      <c r="A64" s="4">
        <v>23774</v>
      </c>
      <c r="B64" s="22">
        <f>IGP!B254</f>
        <v>3.12</v>
      </c>
      <c r="C64" s="17">
        <f>C63*(1+B64/100)</f>
        <v>10.920910597434279</v>
      </c>
      <c r="D64" s="17">
        <f>IF(A64&lt;$D$1,C64,C64*1.2225)</f>
        <v>10.920910597434279</v>
      </c>
      <c r="E64" s="17">
        <f>SQRT(D64*D63)</f>
        <v>10.754430062937757</v>
      </c>
      <c r="F64" s="24">
        <f>E64/$E$507</f>
        <v>7.0018033678338471E-14</v>
      </c>
      <c r="G64" s="24">
        <f>E64/$E$753</f>
        <v>1.9326835072389628E-14</v>
      </c>
    </row>
    <row r="65" spans="1:7" hidden="1" x14ac:dyDescent="0.2">
      <c r="A65" s="5">
        <v>23802</v>
      </c>
      <c r="B65" s="22">
        <f>IGP!B255</f>
        <v>6.01</v>
      </c>
      <c r="C65" s="17">
        <f>C64*(1+B65/100)</f>
        <v>11.57725732434008</v>
      </c>
      <c r="D65" s="17">
        <f>IF(A65&lt;$D$1,C65,C65*1.2225)</f>
        <v>11.57725732434008</v>
      </c>
      <c r="E65" s="17">
        <f>SQRT(D65*D64)</f>
        <v>11.24429598519219</v>
      </c>
      <c r="F65" s="24">
        <f>E65/$E$507</f>
        <v>7.3207365743501554E-14</v>
      </c>
      <c r="G65" s="24">
        <f>E65/$E$753</f>
        <v>2.0207175344406726E-14</v>
      </c>
    </row>
    <row r="66" spans="1:7" hidden="1" x14ac:dyDescent="0.2">
      <c r="A66" s="5">
        <v>23833</v>
      </c>
      <c r="B66" s="22">
        <f>IGP!B256</f>
        <v>2.35</v>
      </c>
      <c r="C66" s="17">
        <f>C65*(1+B66/100)</f>
        <v>11.849322871462073</v>
      </c>
      <c r="D66" s="17">
        <f>IF(A66&lt;$D$1,C66,C66*1.2225)</f>
        <v>11.849322871462073</v>
      </c>
      <c r="E66" s="17">
        <f>SQRT(D66*D65)</f>
        <v>11.712500160175226</v>
      </c>
      <c r="F66" s="24">
        <f>E66/$E$507</f>
        <v>7.6255666350827819E-14</v>
      </c>
      <c r="G66" s="24">
        <f>E66/$E$753</f>
        <v>2.1048587192095987E-14</v>
      </c>
    </row>
    <row r="67" spans="1:7" hidden="1" x14ac:dyDescent="0.2">
      <c r="A67" s="5">
        <v>23863</v>
      </c>
      <c r="B67" s="22">
        <f>IGP!B257</f>
        <v>1.71</v>
      </c>
      <c r="C67" s="17">
        <f>C66*(1+B67/100)</f>
        <v>12.051946292564073</v>
      </c>
      <c r="D67" s="17">
        <f>IF(A67&lt;$D$1,C67,C67*1.2225)</f>
        <v>12.051946292564073</v>
      </c>
      <c r="E67" s="17">
        <f>SQRT(D67*D66)</f>
        <v>11.950205138411308</v>
      </c>
      <c r="F67" s="24">
        <f>E67/$E$507</f>
        <v>7.7803273715815053E-14</v>
      </c>
      <c r="G67" s="24">
        <f>E67/$E$753</f>
        <v>2.1475767887248488E-14</v>
      </c>
    </row>
    <row r="68" spans="1:7" hidden="1" x14ac:dyDescent="0.2">
      <c r="A68" s="4">
        <v>23894</v>
      </c>
      <c r="B68" s="22">
        <f>IGP!B258</f>
        <v>1.1499999999999999</v>
      </c>
      <c r="C68" s="17">
        <f>C67*(1+B68/100)</f>
        <v>12.190543674928561</v>
      </c>
      <c r="D68" s="17">
        <f>IF(A68&lt;$D$1,C68,C68*1.2225)</f>
        <v>12.190543674928561</v>
      </c>
      <c r="E68" s="17">
        <f>SQRT(D68*D67)</f>
        <v>12.121046887434916</v>
      </c>
      <c r="F68" s="24">
        <f>E68/$E$507</f>
        <v>7.8915559840397811E-14</v>
      </c>
      <c r="G68" s="24">
        <f>E68/$E$753</f>
        <v>2.1782788369741255E-14</v>
      </c>
    </row>
    <row r="69" spans="1:7" hidden="1" x14ac:dyDescent="0.2">
      <c r="A69" s="5">
        <v>23924</v>
      </c>
      <c r="B69" s="22">
        <f>IGP!B259</f>
        <v>2.74</v>
      </c>
      <c r="C69" s="17">
        <f>C68*(1+B69/100)</f>
        <v>12.524564571621605</v>
      </c>
      <c r="D69" s="17">
        <f>IF(A69&lt;$D$1,C69,C69*1.2225)</f>
        <v>12.524564571621605</v>
      </c>
      <c r="E69" s="17">
        <f>SQRT(D69*D68)</f>
        <v>12.356425511442056</v>
      </c>
      <c r="F69" s="24">
        <f>E69/$E$507</f>
        <v>8.0448021191342791E-14</v>
      </c>
      <c r="G69" s="24">
        <f>E69/$E$753</f>
        <v>2.220578836315135E-14</v>
      </c>
    </row>
    <row r="70" spans="1:7" hidden="1" x14ac:dyDescent="0.2">
      <c r="A70" s="5">
        <v>23955</v>
      </c>
      <c r="B70" s="22">
        <f>IGP!B260</f>
        <v>1.2</v>
      </c>
      <c r="C70" s="17">
        <f>C69*(1+B70/100)</f>
        <v>12.674859346481064</v>
      </c>
      <c r="D70" s="17">
        <f>IF(A70&lt;$D$1,C70,C70*1.2225)</f>
        <v>12.674859346481064</v>
      </c>
      <c r="E70" s="17">
        <f>SQRT(D70*D69)</f>
        <v>12.599487859481579</v>
      </c>
      <c r="F70" s="24">
        <f>E70/$E$507</f>
        <v>8.2030508368382305E-14</v>
      </c>
      <c r="G70" s="24">
        <f>E70/$E$753</f>
        <v>2.2642596811890694E-14</v>
      </c>
    </row>
    <row r="71" spans="1:7" hidden="1" x14ac:dyDescent="0.2">
      <c r="A71" s="5">
        <v>23986</v>
      </c>
      <c r="B71" s="22">
        <f>IGP!B261</f>
        <v>1.97</v>
      </c>
      <c r="C71" s="17">
        <f>C70*(1+B71/100)</f>
        <v>12.924554075606741</v>
      </c>
      <c r="D71" s="17">
        <f>IF(A71&lt;$D$1,C71,C71*1.2225)</f>
        <v>12.924554075606741</v>
      </c>
      <c r="E71" s="17">
        <f>SQRT(D71*D70)</f>
        <v>12.799097820717835</v>
      </c>
      <c r="F71" s="24">
        <f>E71/$E$507</f>
        <v>8.3330093460905021E-14</v>
      </c>
      <c r="G71" s="24">
        <f>E71/$E$753</f>
        <v>2.3001316779108129E-14</v>
      </c>
    </row>
    <row r="72" spans="1:7" hidden="1" x14ac:dyDescent="0.2">
      <c r="A72" s="4">
        <v>24016</v>
      </c>
      <c r="B72" s="22">
        <f>IGP!B262</f>
        <v>2.02</v>
      </c>
      <c r="C72" s="17">
        <f>C71*(1+B72/100)</f>
        <v>13.185630067933998</v>
      </c>
      <c r="D72" s="17">
        <f>IF(A72&lt;$D$1,C72,C72*1.2225)</f>
        <v>13.185630067933998</v>
      </c>
      <c r="E72" s="17">
        <f>SQRT(D72*D71)</f>
        <v>13.054439430092705</v>
      </c>
      <c r="F72" s="24">
        <f>E72/$E$507</f>
        <v>8.4992526272319567E-14</v>
      </c>
      <c r="G72" s="24">
        <f>E72/$E$753</f>
        <v>2.3460192344119575E-14</v>
      </c>
    </row>
    <row r="73" spans="1:7" hidden="1" x14ac:dyDescent="0.2">
      <c r="A73" s="5">
        <v>24047</v>
      </c>
      <c r="B73" s="22">
        <f>IGP!B263</f>
        <v>0.91</v>
      </c>
      <c r="C73" s="17">
        <f>C72*(1+B73/100)</f>
        <v>13.305619301552198</v>
      </c>
      <c r="D73" s="17">
        <f>IF(A73&lt;$D$1,C73,C73*1.2225)</f>
        <v>13.305619301552198</v>
      </c>
      <c r="E73" s="17">
        <f>SQRT(D73*D72)</f>
        <v>13.245488814499433</v>
      </c>
      <c r="F73" s="24">
        <f>E73/$E$507</f>
        <v>8.6236376681251609E-14</v>
      </c>
      <c r="G73" s="24">
        <f>E73/$E$753</f>
        <v>2.3803528059866631E-14</v>
      </c>
    </row>
    <row r="74" spans="1:7" hidden="1" x14ac:dyDescent="0.2">
      <c r="A74" s="5">
        <v>24077</v>
      </c>
      <c r="B74" s="22">
        <f>IGP!B264</f>
        <v>1.92</v>
      </c>
      <c r="C74" s="17">
        <f>C73*(1+B74/100)</f>
        <v>13.561087192142002</v>
      </c>
      <c r="D74" s="17">
        <f>IF(A74&lt;$D$1,C74,C74*1.2225)</f>
        <v>13.561087192142002</v>
      </c>
      <c r="E74" s="17">
        <f>SQRT(D74*D73)</f>
        <v>13.432745940193945</v>
      </c>
      <c r="F74" s="24">
        <f>E74/$E$507</f>
        <v>8.7455537125520243E-14</v>
      </c>
      <c r="G74" s="24">
        <f>E74/$E$753</f>
        <v>2.4140048690271748E-14</v>
      </c>
    </row>
    <row r="75" spans="1:7" hidden="1" x14ac:dyDescent="0.2">
      <c r="A75" s="5">
        <v>24108</v>
      </c>
      <c r="B75" s="22">
        <f>IGP!B265</f>
        <v>7.67</v>
      </c>
      <c r="C75" s="17">
        <f>C74*(1+B75/100)</f>
        <v>14.601222579779295</v>
      </c>
      <c r="D75" s="17">
        <f>IF(A75&lt;$D$1,C75,C75*1.2225)</f>
        <v>14.601222579779295</v>
      </c>
      <c r="E75" s="17">
        <f>SQRT(D75*D74)</f>
        <v>14.071547623351869</v>
      </c>
      <c r="F75" s="24">
        <f>E75/$E$507</f>
        <v>9.1614533697479231E-14</v>
      </c>
      <c r="G75" s="24">
        <f>E75/$E$753</f>
        <v>2.5288042094116115E-14</v>
      </c>
    </row>
    <row r="76" spans="1:7" hidden="1" x14ac:dyDescent="0.2">
      <c r="A76" s="4">
        <v>24139</v>
      </c>
      <c r="B76" s="22">
        <f>IGP!B266</f>
        <v>2.89</v>
      </c>
      <c r="C76" s="17">
        <f>C75*(1+B76/100)</f>
        <v>15.023197912334915</v>
      </c>
      <c r="D76" s="17">
        <f>IF(A76&lt;$D$1,C76,C76*1.2225)</f>
        <v>15.023197912334915</v>
      </c>
      <c r="E76" s="17">
        <f>SQRT(D76*D75)</f>
        <v>14.810707497553171</v>
      </c>
      <c r="F76" s="24">
        <f>E76/$E$507</f>
        <v>9.642692455990729E-14</v>
      </c>
      <c r="G76" s="24">
        <f>E76/$E$753</f>
        <v>2.661638965853502E-14</v>
      </c>
    </row>
    <row r="77" spans="1:7" hidden="1" x14ac:dyDescent="0.2">
      <c r="A77" s="5">
        <v>24167</v>
      </c>
      <c r="B77" s="22">
        <f>IGP!B267</f>
        <v>2.61</v>
      </c>
      <c r="C77" s="17">
        <f>C76*(1+B77/100)</f>
        <v>15.415303377846856</v>
      </c>
      <c r="D77" s="17">
        <f>IF(A77&lt;$D$1,C77,C77*1.2225)</f>
        <v>15.415303377846856</v>
      </c>
      <c r="E77" s="17">
        <f>SQRT(D77*D76)</f>
        <v>15.217987827701737</v>
      </c>
      <c r="F77" s="24">
        <f>E77/$E$507</f>
        <v>9.9078573016029859E-14</v>
      </c>
      <c r="G77" s="24">
        <f>E77/$E$753</f>
        <v>2.7348314988184664E-14</v>
      </c>
    </row>
    <row r="78" spans="1:7" hidden="1" x14ac:dyDescent="0.2">
      <c r="A78" s="5">
        <v>24198</v>
      </c>
      <c r="B78" s="22">
        <f>IGP!B268</f>
        <v>4.71</v>
      </c>
      <c r="C78" s="17">
        <f>C77*(1+B78/100)</f>
        <v>16.14136416694344</v>
      </c>
      <c r="D78" s="17">
        <f>IF(A78&lt;$D$1,C78,C78*1.2225)</f>
        <v>16.14136416694344</v>
      </c>
      <c r="E78" s="17">
        <f>SQRT(D78*D77)</f>
        <v>15.7741568892204</v>
      </c>
      <c r="F78" s="24">
        <f>E78/$E$507</f>
        <v>1.0269957978741297E-13</v>
      </c>
      <c r="G78" s="24">
        <f>E78/$E$753</f>
        <v>2.8347808932673679E-14</v>
      </c>
    </row>
    <row r="79" spans="1:7" hidden="1" x14ac:dyDescent="0.2">
      <c r="A79" s="4">
        <v>24228</v>
      </c>
      <c r="B79" s="22">
        <f>IGP!B269</f>
        <v>2.33</v>
      </c>
      <c r="C79" s="17">
        <f>C78*(1+B79/100)</f>
        <v>16.517457952033222</v>
      </c>
      <c r="D79" s="17">
        <f>IF(A79&lt;$D$1,C79,C79*1.2225)</f>
        <v>16.517457952033222</v>
      </c>
      <c r="E79" s="17">
        <f>SQRT(D79*D78)</f>
        <v>16.328328264581895</v>
      </c>
      <c r="F79" s="24">
        <f>E79/$E$507</f>
        <v>1.0630758037847664E-13</v>
      </c>
      <c r="G79" s="24">
        <f>E79/$E$753</f>
        <v>2.934371282630365E-14</v>
      </c>
    </row>
    <row r="80" spans="1:7" hidden="1" x14ac:dyDescent="0.2">
      <c r="A80" s="5">
        <v>24259</v>
      </c>
      <c r="B80" s="22">
        <f>IGP!B270</f>
        <v>1.85</v>
      </c>
      <c r="C80" s="17">
        <f>C79*(1+B80/100)</f>
        <v>16.823030924145836</v>
      </c>
      <c r="D80" s="17">
        <f>IF(A80&lt;$D$1,C80,C80*1.2225)</f>
        <v>16.823030924145836</v>
      </c>
      <c r="E80" s="17">
        <f>SQRT(D80*D79)</f>
        <v>16.669544262376625</v>
      </c>
      <c r="F80" s="24">
        <f>E80/$E$507</f>
        <v>1.0852910891000841E-13</v>
      </c>
      <c r="G80" s="24">
        <f>E80/$E$753</f>
        <v>2.995691364446381E-14</v>
      </c>
    </row>
    <row r="81" spans="1:7" hidden="1" x14ac:dyDescent="0.2">
      <c r="A81" s="5">
        <v>24289</v>
      </c>
      <c r="B81" s="22">
        <f>IGP!B271</f>
        <v>3.32</v>
      </c>
      <c r="C81" s="17">
        <f>C80*(1+B81/100)</f>
        <v>17.381555550827475</v>
      </c>
      <c r="D81" s="17">
        <f>IF(A81&lt;$D$1,C81,C81*1.2225)</f>
        <v>17.381555550827475</v>
      </c>
      <c r="E81" s="17">
        <f>SQRT(D81*D80)</f>
        <v>17.100013056759032</v>
      </c>
      <c r="F81" s="24">
        <f>E81/$E$507</f>
        <v>1.1133172870168036E-13</v>
      </c>
      <c r="G81" s="24">
        <f>E81/$E$753</f>
        <v>3.0730511068423114E-14</v>
      </c>
    </row>
    <row r="82" spans="1:7" hidden="1" x14ac:dyDescent="0.2">
      <c r="A82" s="5">
        <v>24320</v>
      </c>
      <c r="B82" s="22">
        <f>IGP!B272</f>
        <v>2.19</v>
      </c>
      <c r="C82" s="17">
        <f>C81*(1+B82/100)</f>
        <v>17.762211617390598</v>
      </c>
      <c r="D82" s="17">
        <f>IF(A82&lt;$D$1,C82,C82*1.2225)</f>
        <v>17.762211617390598</v>
      </c>
      <c r="E82" s="17">
        <f>SQRT(D82*D81)</f>
        <v>17.570852794706003</v>
      </c>
      <c r="F82" s="24">
        <f>E82/$E$507</f>
        <v>1.1439718846437702E-13</v>
      </c>
      <c r="G82" s="24">
        <f>E82/$E$753</f>
        <v>3.1576659298275703E-14</v>
      </c>
    </row>
    <row r="83" spans="1:7" hidden="1" x14ac:dyDescent="0.2">
      <c r="A83" s="4">
        <v>24351</v>
      </c>
      <c r="B83" s="22">
        <f>IGP!B273</f>
        <v>2.38</v>
      </c>
      <c r="C83" s="17">
        <f>C82*(1+B83/100)</f>
        <v>18.184952253884497</v>
      </c>
      <c r="D83" s="17">
        <f>IF(A83&lt;$D$1,C83,C83*1.2225)</f>
        <v>18.184952253884497</v>
      </c>
      <c r="E83" s="17">
        <f>SQRT(D83*D82)</f>
        <v>17.972339029342859</v>
      </c>
      <c r="F83" s="24">
        <f>E83/$E$507</f>
        <v>1.1701111375225169E-13</v>
      </c>
      <c r="G83" s="24">
        <f>E83/$E$753</f>
        <v>3.2298172032586203E-14</v>
      </c>
    </row>
    <row r="84" spans="1:7" hidden="1" x14ac:dyDescent="0.2">
      <c r="A84" s="5">
        <v>24381</v>
      </c>
      <c r="B84" s="22">
        <f>IGP!B274</f>
        <v>2.0499999999999998</v>
      </c>
      <c r="C84" s="17">
        <f>C83*(1+B84/100)</f>
        <v>18.557743775089129</v>
      </c>
      <c r="D84" s="17">
        <f>IF(A84&lt;$D$1,C84,C84*1.2225)</f>
        <v>18.557743775089129</v>
      </c>
      <c r="E84" s="17">
        <f>SQRT(D84*D83)</f>
        <v>18.370402404134158</v>
      </c>
      <c r="F84" s="24">
        <f>E84/$E$507</f>
        <v>1.1960275409201292E-13</v>
      </c>
      <c r="G84" s="24">
        <f>E84/$E$753</f>
        <v>3.3013533529934457E-14</v>
      </c>
    </row>
    <row r="85" spans="1:7" hidden="1" x14ac:dyDescent="0.2">
      <c r="A85" s="5">
        <v>24412</v>
      </c>
      <c r="B85" s="22">
        <f>IGP!B275</f>
        <v>0.97</v>
      </c>
      <c r="C85" s="17">
        <f>C84*(1+B85/100)</f>
        <v>18.737753889707495</v>
      </c>
      <c r="D85" s="17">
        <f>IF(A85&lt;$D$1,C85,C85*1.2225)</f>
        <v>18.737753889707495</v>
      </c>
      <c r="E85" s="17">
        <f>SQRT(D85*D84)</f>
        <v>18.647531622331986</v>
      </c>
      <c r="F85" s="24">
        <f>E85/$E$507</f>
        <v>1.2140703779830601E-13</v>
      </c>
      <c r="G85" s="24">
        <f>E85/$E$753</f>
        <v>3.3511563705639245E-14</v>
      </c>
    </row>
    <row r="86" spans="1:7" hidden="1" x14ac:dyDescent="0.2">
      <c r="A86" s="5">
        <v>24442</v>
      </c>
      <c r="B86" s="22">
        <f>IGP!B276</f>
        <v>0.68</v>
      </c>
      <c r="C86" s="17">
        <f>C85*(1+B86/100)</f>
        <v>18.865170616157503</v>
      </c>
      <c r="D86" s="17">
        <f>IF(A86&lt;$D$1,C86,C86*1.2225)</f>
        <v>18.865170616157503</v>
      </c>
      <c r="E86" s="17">
        <f>SQRT(D86*D85)</f>
        <v>18.801354315391773</v>
      </c>
      <c r="F86" s="24">
        <f>E86/$E$507</f>
        <v>1.2240851927525288E-13</v>
      </c>
      <c r="G86" s="24">
        <f>E86/$E$753</f>
        <v>3.3787999165422707E-14</v>
      </c>
    </row>
    <row r="87" spans="1:7" hidden="1" x14ac:dyDescent="0.2">
      <c r="A87" s="4">
        <v>24473</v>
      </c>
      <c r="B87" s="22">
        <f>IGP!B277</f>
        <v>4.45</v>
      </c>
      <c r="C87" s="17">
        <f>C86*(1+B87/100)</f>
        <v>19.704670708576511</v>
      </c>
      <c r="D87" s="17">
        <f>IF(A87&lt;$D$1,C87,C87*1.2225)</f>
        <v>19.704670708576511</v>
      </c>
      <c r="E87" s="17">
        <f>SQRT(D87*D86)</f>
        <v>19.280352041715862</v>
      </c>
      <c r="F87" s="24">
        <f>E87/$E$507</f>
        <v>1.255270926201286E-13</v>
      </c>
      <c r="G87" s="24">
        <f>E87/$E$753</f>
        <v>3.4648808153210801E-14</v>
      </c>
    </row>
    <row r="88" spans="1:7" hidden="1" x14ac:dyDescent="0.2">
      <c r="A88" s="5">
        <v>24504</v>
      </c>
      <c r="B88" s="22">
        <f>IGP!B278</f>
        <v>2.4300000000000002</v>
      </c>
      <c r="C88" s="17">
        <f>C87*(1+B88/100)</f>
        <v>20.183494206794922</v>
      </c>
      <c r="D88" s="17">
        <f>IF(A88&lt;$D$1,C88,C88*1.2225)</f>
        <v>20.183494206794922</v>
      </c>
      <c r="E88" s="17">
        <f>SQRT(D88*D87)</f>
        <v>19.942645438691319</v>
      </c>
      <c r="F88" s="24">
        <f>E88/$E$507</f>
        <v>1.2983903487118092E-13</v>
      </c>
      <c r="G88" s="24">
        <f>E88/$E$753</f>
        <v>3.5839018622567905E-14</v>
      </c>
    </row>
    <row r="89" spans="1:7" hidden="1" x14ac:dyDescent="0.2">
      <c r="A89" s="5">
        <v>24532</v>
      </c>
      <c r="B89" s="22">
        <f>IGP!B279</f>
        <v>2.2999999999999998</v>
      </c>
      <c r="C89" s="17">
        <f>C88*(1+B89/100)</f>
        <v>20.647714573551202</v>
      </c>
      <c r="D89" s="17">
        <f>IF(A89&lt;$D$1,C89,C89*1.2225)</f>
        <v>20.647714573551202</v>
      </c>
      <c r="E89" s="17">
        <f>SQRT(D89*D88)</f>
        <v>20.414284887764886</v>
      </c>
      <c r="F89" s="24">
        <f>E89/$E$507</f>
        <v>1.3290970125108252E-13</v>
      </c>
      <c r="G89" s="24">
        <f>E89/$E$753</f>
        <v>3.6686604016915392E-14</v>
      </c>
    </row>
    <row r="90" spans="1:7" hidden="1" x14ac:dyDescent="0.2">
      <c r="A90" s="5">
        <v>24563</v>
      </c>
      <c r="B90" s="22">
        <f>IGP!B280</f>
        <v>2.52</v>
      </c>
      <c r="C90" s="17">
        <f>C89*(1+B90/100)</f>
        <v>21.16803698080469</v>
      </c>
      <c r="D90" s="17">
        <f>IF(A90&lt;$D$1,C90,C90*1.2225)</f>
        <v>21.16803698080469</v>
      </c>
      <c r="E90" s="17">
        <f>SQRT(D90*D89)</f>
        <v>20.906257093560097</v>
      </c>
      <c r="F90" s="24">
        <f>E90/$E$507</f>
        <v>1.3611274653312751E-13</v>
      </c>
      <c r="G90" s="24">
        <f>E90/$E$753</f>
        <v>3.7570729500642457E-14</v>
      </c>
    </row>
    <row r="91" spans="1:7" hidden="1" x14ac:dyDescent="0.2">
      <c r="A91" s="4">
        <v>24593</v>
      </c>
      <c r="B91" s="22">
        <f>IGP!B281</f>
        <v>1.33</v>
      </c>
      <c r="C91" s="17">
        <f>C90*(1+B91/100)</f>
        <v>21.449571872649393</v>
      </c>
      <c r="D91" s="17">
        <f>IF(A91&lt;$D$1,C91,C91*1.2225)</f>
        <v>21.449571872649393</v>
      </c>
      <c r="E91" s="17">
        <f>SQRT(D91*D90)</f>
        <v>21.308339461879015</v>
      </c>
      <c r="F91" s="24">
        <f>E91/$E$507</f>
        <v>1.3873055302232883E-13</v>
      </c>
      <c r="G91" s="24">
        <f>E91/$E$753</f>
        <v>3.8293313549498396E-14</v>
      </c>
    </row>
    <row r="92" spans="1:7" hidden="1" x14ac:dyDescent="0.2">
      <c r="A92" s="5">
        <v>24624</v>
      </c>
      <c r="B92" s="22">
        <f>IGP!B282</f>
        <v>0.8</v>
      </c>
      <c r="C92" s="17">
        <f>C91*(1+B92/100)</f>
        <v>21.621168447630588</v>
      </c>
      <c r="D92" s="17">
        <f>IF(A92&lt;$D$1,C92,C92*1.2225)</f>
        <v>21.621168447630588</v>
      </c>
      <c r="E92" s="17">
        <f>SQRT(D92*D91)</f>
        <v>21.535199246538482</v>
      </c>
      <c r="F92" s="24">
        <f>E92/$E$507</f>
        <v>1.4020755142666902E-13</v>
      </c>
      <c r="G92" s="24">
        <f>E92/$E$753</f>
        <v>3.8701004298056172E-14</v>
      </c>
    </row>
    <row r="93" spans="1:7" hidden="1" x14ac:dyDescent="0.2">
      <c r="A93" s="5">
        <v>24654</v>
      </c>
      <c r="B93" s="22">
        <f>IGP!B283</f>
        <v>2.82</v>
      </c>
      <c r="C93" s="17">
        <f>C92*(1+B93/100)</f>
        <v>22.230885397853772</v>
      </c>
      <c r="D93" s="17">
        <f>IF(A93&lt;$D$1,C93,C93*1.2225)</f>
        <v>22.230885397853772</v>
      </c>
      <c r="E93" s="17">
        <f>SQRT(D93*D92)</f>
        <v>21.923907451158598</v>
      </c>
      <c r="F93" s="24">
        <f>E93/$E$507</f>
        <v>1.4273828378560009E-13</v>
      </c>
      <c r="G93" s="24">
        <f>E93/$E$753</f>
        <v>3.93995535766337E-14</v>
      </c>
    </row>
    <row r="94" spans="1:7" hidden="1" x14ac:dyDescent="0.2">
      <c r="A94" s="4">
        <v>24685</v>
      </c>
      <c r="B94" s="22">
        <f>IGP!B284</f>
        <v>0.84</v>
      </c>
      <c r="C94" s="17">
        <f>C93*(1+B94/100)</f>
        <v>22.417624835195742</v>
      </c>
      <c r="D94" s="17">
        <f>IF(A94&lt;$D$1,C94,C94*1.2225)</f>
        <v>22.417624835195742</v>
      </c>
      <c r="E94" s="17">
        <f>SQRT(D94*D93)</f>
        <v>22.324059859338245</v>
      </c>
      <c r="F94" s="24">
        <f>E94/$E$507</f>
        <v>1.4534352503301372E-13</v>
      </c>
      <c r="G94" s="24">
        <f>E94/$E$753</f>
        <v>4.0118669285364712E-14</v>
      </c>
    </row>
    <row r="95" spans="1:7" hidden="1" x14ac:dyDescent="0.2">
      <c r="A95" s="5">
        <v>24716</v>
      </c>
      <c r="B95" s="22">
        <f>IGP!B285</f>
        <v>1.51</v>
      </c>
      <c r="C95" s="17">
        <f>C94*(1+B95/100)</f>
        <v>22.756130970207195</v>
      </c>
      <c r="D95" s="17">
        <f>IF(A95&lt;$D$1,C95,C95*1.2225)</f>
        <v>22.756130970207195</v>
      </c>
      <c r="E95" s="17">
        <f>SQRT(D95*D94)</f>
        <v>22.586243751245664</v>
      </c>
      <c r="F95" s="24">
        <f>E95/$E$507</f>
        <v>1.4705050536261353E-13</v>
      </c>
      <c r="G95" s="24">
        <f>E95/$E$753</f>
        <v>4.0589841147367387E-14</v>
      </c>
    </row>
    <row r="96" spans="1:7" hidden="1" x14ac:dyDescent="0.2">
      <c r="A96" s="5">
        <v>24746</v>
      </c>
      <c r="B96" s="22">
        <f>IGP!B286</f>
        <v>1.5</v>
      </c>
      <c r="C96" s="17">
        <f>C95*(1+B96/100)</f>
        <v>23.097472934760301</v>
      </c>
      <c r="D96" s="17">
        <f>IF(A96&lt;$D$1,C96,C96*1.2225)</f>
        <v>23.097472934760301</v>
      </c>
      <c r="E96" s="17">
        <f>SQRT(D96*D95)</f>
        <v>22.926166691887708</v>
      </c>
      <c r="F96" s="24">
        <f>E96/$E$507</f>
        <v>1.4926361528723309E-13</v>
      </c>
      <c r="G96" s="24">
        <f>E96/$E$753</f>
        <v>4.1200718206650231E-14</v>
      </c>
    </row>
    <row r="97" spans="1:7" hidden="1" x14ac:dyDescent="0.2">
      <c r="A97" s="5">
        <v>24777</v>
      </c>
      <c r="B97" s="22">
        <f>IGP!B287</f>
        <v>1.55</v>
      </c>
      <c r="C97" s="17">
        <f>C96*(1+B97/100)</f>
        <v>23.455483765249088</v>
      </c>
      <c r="D97" s="17">
        <f>IF(A97&lt;$D$1,C97,C97*1.2225)</f>
        <v>23.455483765249088</v>
      </c>
      <c r="E97" s="17">
        <f>SQRT(D97*D96)</f>
        <v>23.275790028257912</v>
      </c>
      <c r="F97" s="24">
        <f>E97/$E$507</f>
        <v>1.515398808259403E-13</v>
      </c>
      <c r="G97" s="24">
        <f>E97/$E$753</f>
        <v>4.1829027891118971E-14</v>
      </c>
    </row>
    <row r="98" spans="1:7" hidden="1" x14ac:dyDescent="0.2">
      <c r="A98" s="4">
        <v>24807</v>
      </c>
      <c r="B98" s="22">
        <f>IGP!B288</f>
        <v>0.55000000000000004</v>
      </c>
      <c r="C98" s="17">
        <f>C97*(1+B98/100)</f>
        <v>23.58448892595796</v>
      </c>
      <c r="D98" s="17">
        <f>IF(A98&lt;$D$1,C98,C98*1.2225)</f>
        <v>23.58448892595796</v>
      </c>
      <c r="E98" s="17">
        <f>SQRT(D98*D97)</f>
        <v>23.519897897620726</v>
      </c>
      <c r="F98" s="24">
        <f>E98/$E$507</f>
        <v>1.531291749975669E-13</v>
      </c>
      <c r="G98" s="24">
        <f>E98/$E$753</f>
        <v>4.2267715250973239E-14</v>
      </c>
    </row>
    <row r="99" spans="1:7" hidden="1" x14ac:dyDescent="0.2">
      <c r="A99" s="5">
        <v>24838</v>
      </c>
      <c r="B99" s="22">
        <f>IGP!B289</f>
        <v>3.29</v>
      </c>
      <c r="C99" s="17">
        <f>C98*(1+B99/100)</f>
        <v>24.360418611621974</v>
      </c>
      <c r="D99" s="17">
        <f>IF(A99&lt;$D$1,C99,C99*1.2225)</f>
        <v>24.360418611621974</v>
      </c>
      <c r="E99" s="17">
        <f>SQRT(D99*D98)</f>
        <v>23.96931419497643</v>
      </c>
      <c r="F99" s="24">
        <f>E99/$E$507</f>
        <v>1.5605515482724558E-13</v>
      </c>
      <c r="G99" s="24">
        <f>E99/$E$753</f>
        <v>4.3075363318514354E-14</v>
      </c>
    </row>
    <row r="100" spans="1:7" hidden="1" x14ac:dyDescent="0.2">
      <c r="A100" s="5">
        <v>24869</v>
      </c>
      <c r="B100" s="22">
        <f>IGP!B290</f>
        <v>2.34</v>
      </c>
      <c r="C100" s="17">
        <f>C99*(1+B100/100)</f>
        <v>24.930452407133931</v>
      </c>
      <c r="D100" s="17">
        <f>IF(A100&lt;$D$1,C100,C100*1.2225)</f>
        <v>24.930452407133931</v>
      </c>
      <c r="E100" s="17">
        <f>SQRT(D100*D99)</f>
        <v>24.643787387796163</v>
      </c>
      <c r="F100" s="24">
        <f>E100/$E$507</f>
        <v>1.6044639513041495E-13</v>
      </c>
      <c r="G100" s="24">
        <f>E100/$E$753</f>
        <v>4.4287462154258155E-14</v>
      </c>
    </row>
    <row r="101" spans="1:7" hidden="1" x14ac:dyDescent="0.2">
      <c r="A101" s="5">
        <v>24898</v>
      </c>
      <c r="B101" s="22">
        <f>IGP!B291</f>
        <v>2.0699999999999998</v>
      </c>
      <c r="C101" s="17">
        <f>C100*(1+B101/100)</f>
        <v>25.446512771961601</v>
      </c>
      <c r="D101" s="17">
        <f>IF(A101&lt;$D$1,C101,C101*1.2225)</f>
        <v>25.446512771961601</v>
      </c>
      <c r="E101" s="17">
        <f>SQRT(D101*D100)</f>
        <v>25.187160927522466</v>
      </c>
      <c r="F101" s="24">
        <f>E101/$E$507</f>
        <v>1.6398409509050761E-13</v>
      </c>
      <c r="G101" s="24">
        <f>E101/$E$753</f>
        <v>4.5263961208464857E-14</v>
      </c>
    </row>
    <row r="102" spans="1:7" hidden="1" x14ac:dyDescent="0.2">
      <c r="A102" s="4">
        <v>24929</v>
      </c>
      <c r="B102" s="22">
        <f>IGP!B292</f>
        <v>2.2200000000000002</v>
      </c>
      <c r="C102" s="17">
        <f>C101*(1+B102/100)</f>
        <v>26.011425355499149</v>
      </c>
      <c r="D102" s="17">
        <f>IF(A102&lt;$D$1,C102,C102*1.2225)</f>
        <v>26.011425355499149</v>
      </c>
      <c r="E102" s="17">
        <f>SQRT(D102*D101)</f>
        <v>25.727418594286426</v>
      </c>
      <c r="F102" s="24">
        <f>E102/$E$507</f>
        <v>1.6750150877817693E-13</v>
      </c>
      <c r="G102" s="24">
        <f>E102/$E$753</f>
        <v>4.6234860713230322E-14</v>
      </c>
    </row>
    <row r="103" spans="1:7" hidden="1" x14ac:dyDescent="0.2">
      <c r="A103" s="5">
        <v>24959</v>
      </c>
      <c r="B103" s="22">
        <f>IGP!B293</f>
        <v>1.51</v>
      </c>
      <c r="C103" s="17">
        <f>C102*(1+B103/100)</f>
        <v>26.404197878367185</v>
      </c>
      <c r="D103" s="17">
        <f>IF(A103&lt;$D$1,C103,C103*1.2225)</f>
        <v>26.404197878367185</v>
      </c>
      <c r="E103" s="17">
        <f>SQRT(D103*D102)</f>
        <v>26.207075803778206</v>
      </c>
      <c r="F103" s="24">
        <f>E103/$E$507</f>
        <v>1.7062437576896185E-13</v>
      </c>
      <c r="G103" s="24">
        <f>E103/$E$753</f>
        <v>4.7096854861211972E-14</v>
      </c>
    </row>
    <row r="104" spans="1:7" hidden="1" x14ac:dyDescent="0.2">
      <c r="A104" s="5">
        <v>24990</v>
      </c>
      <c r="B104" s="22">
        <f>IGP!B294</f>
        <v>2.69</v>
      </c>
      <c r="C104" s="17">
        <f>C103*(1+B104/100)</f>
        <v>27.114470801295262</v>
      </c>
      <c r="D104" s="17">
        <f>IF(A104&lt;$D$1,C104,C104*1.2225)</f>
        <v>27.114470801295262</v>
      </c>
      <c r="E104" s="17">
        <f>SQRT(D104*D103)</f>
        <v>26.756977639572998</v>
      </c>
      <c r="F104" s="24">
        <f>E104/$E$507</f>
        <v>1.7420457899992154E-13</v>
      </c>
      <c r="G104" s="24">
        <f>E104/$E$753</f>
        <v>4.8085085945910384E-14</v>
      </c>
    </row>
    <row r="105" spans="1:7" hidden="1" x14ac:dyDescent="0.2">
      <c r="A105" s="5">
        <v>25020</v>
      </c>
      <c r="B105" s="22">
        <f>IGP!B295</f>
        <v>1.42</v>
      </c>
      <c r="C105" s="17">
        <f>C104*(1+B105/100)</f>
        <v>27.499496286673654</v>
      </c>
      <c r="D105" s="17">
        <f>IF(A105&lt;$D$1,C105,C105*1.2225)</f>
        <v>27.499496286673654</v>
      </c>
      <c r="E105" s="17">
        <f>SQRT(D105*D104)</f>
        <v>27.306304933391122</v>
      </c>
      <c r="F105" s="24">
        <f>E105/$E$507</f>
        <v>1.7778104160499622E-13</v>
      </c>
      <c r="G105" s="24">
        <f>E105/$E$753</f>
        <v>4.9072284518615112E-14</v>
      </c>
    </row>
    <row r="106" spans="1:7" hidden="1" x14ac:dyDescent="0.2">
      <c r="A106" s="4">
        <v>25051</v>
      </c>
      <c r="B106" s="22">
        <f>IGP!B296</f>
        <v>1.19</v>
      </c>
      <c r="C106" s="17">
        <f>C105*(1+B106/100)</f>
        <v>27.82674029248507</v>
      </c>
      <c r="D106" s="17">
        <f>IF(A106&lt;$D$1,C106,C106*1.2225)</f>
        <v>27.82674029248507</v>
      </c>
      <c r="E106" s="17">
        <f>SQRT(D106*D105)</f>
        <v>27.662634389071215</v>
      </c>
      <c r="F106" s="24">
        <f>E106/$E$507</f>
        <v>1.8010096815455599E-13</v>
      </c>
      <c r="G106" s="24">
        <f>E106/$E$753</f>
        <v>4.9712645800529698E-14</v>
      </c>
    </row>
    <row r="107" spans="1:7" hidden="1" x14ac:dyDescent="0.2">
      <c r="A107" s="5">
        <v>25082</v>
      </c>
      <c r="B107" s="22">
        <f>IGP!B297</f>
        <v>1.83</v>
      </c>
      <c r="C107" s="17">
        <f>C106*(1+B107/100)</f>
        <v>28.335969639837547</v>
      </c>
      <c r="D107" s="17">
        <f>IF(A107&lt;$D$1,C107,C107*1.2225)</f>
        <v>28.335969639837547</v>
      </c>
      <c r="E107" s="17">
        <f>SQRT(D107*D106)</f>
        <v>28.08020064215178</v>
      </c>
      <c r="F107" s="24">
        <f>E107/$E$507</f>
        <v>1.8281958437131773E-13</v>
      </c>
      <c r="G107" s="24">
        <f>E107/$E$753</f>
        <v>5.0463056008960512E-14</v>
      </c>
    </row>
    <row r="108" spans="1:7" hidden="1" x14ac:dyDescent="0.2">
      <c r="A108" s="5">
        <v>25112</v>
      </c>
      <c r="B108" s="22">
        <f>IGP!B298</f>
        <v>2.2599999999999998</v>
      </c>
      <c r="C108" s="17">
        <f>C107*(1+B108/100)</f>
        <v>28.976362553697875</v>
      </c>
      <c r="D108" s="17">
        <f>IF(A108&lt;$D$1,C108,C108*1.2225)</f>
        <v>28.976362553697875</v>
      </c>
      <c r="E108" s="17">
        <f>SQRT(D108*D107)</f>
        <v>28.654377145464331</v>
      </c>
      <c r="F108" s="24">
        <f>E108/$E$507</f>
        <v>1.8655783079729956E-13</v>
      </c>
      <c r="G108" s="24">
        <f>E108/$E$753</f>
        <v>5.1494911208819587E-14</v>
      </c>
    </row>
    <row r="109" spans="1:7" hidden="1" x14ac:dyDescent="0.2">
      <c r="A109" s="4">
        <v>25143</v>
      </c>
      <c r="B109" s="22">
        <f>IGP!B299</f>
        <v>1.49</v>
      </c>
      <c r="C109" s="17">
        <f>C108*(1+B109/100)</f>
        <v>29.408110355747972</v>
      </c>
      <c r="D109" s="17">
        <f>IF(A109&lt;$D$1,C109,C109*1.2225)</f>
        <v>29.408110355747972</v>
      </c>
      <c r="E109" s="17">
        <f>SQRT(D109*D108)</f>
        <v>29.191438259998602</v>
      </c>
      <c r="F109" s="24">
        <f>E109/$E$507</f>
        <v>1.9005443294029723E-13</v>
      </c>
      <c r="G109" s="24">
        <f>E109/$E$753</f>
        <v>5.2460066175066327E-14</v>
      </c>
    </row>
    <row r="110" spans="1:7" hidden="1" x14ac:dyDescent="0.2">
      <c r="A110" s="5">
        <v>25173</v>
      </c>
      <c r="B110" s="22">
        <f>IGP!B300</f>
        <v>0.65</v>
      </c>
      <c r="C110" s="17">
        <f>C109*(1+B110/100)</f>
        <v>29.599263073060332</v>
      </c>
      <c r="D110" s="17">
        <f>IF(A110&lt;$D$1,C110,C110*1.2225)</f>
        <v>29.599263073060332</v>
      </c>
      <c r="E110" s="17">
        <f>SQRT(D110*D109)</f>
        <v>29.503531905542665</v>
      </c>
      <c r="F110" s="24">
        <f>E110/$E$507</f>
        <v>1.9208635683181123E-13</v>
      </c>
      <c r="G110" s="24">
        <f>E110/$E$753</f>
        <v>5.3020931081832316E-14</v>
      </c>
    </row>
    <row r="111" spans="1:7" hidden="1" x14ac:dyDescent="0.2">
      <c r="A111" s="5">
        <v>25204</v>
      </c>
      <c r="B111" s="22">
        <f>IGP!B301</f>
        <v>1.69</v>
      </c>
      <c r="C111" s="17">
        <f>C110*(1+B111/100)</f>
        <v>30.099490618995048</v>
      </c>
      <c r="D111" s="17">
        <f>IF(A111&lt;$D$1,C111,C111*1.2225)</f>
        <v>30.099490618995048</v>
      </c>
      <c r="E111" s="17">
        <f>SQRT(D111*D110)</f>
        <v>29.84832895149653</v>
      </c>
      <c r="F111" s="24">
        <f>E111/$E$507</f>
        <v>1.9433120021584032E-13</v>
      </c>
      <c r="G111" s="24">
        <f>E111/$E$753</f>
        <v>5.364056741789094E-14</v>
      </c>
    </row>
    <row r="112" spans="1:7" hidden="1" x14ac:dyDescent="0.2">
      <c r="A112" s="5">
        <v>25235</v>
      </c>
      <c r="B112" s="22">
        <f>IGP!B302</f>
        <v>1.42</v>
      </c>
      <c r="C112" s="17">
        <f>C111*(1+B112/100)</f>
        <v>30.526903385784777</v>
      </c>
      <c r="D112" s="17">
        <f>IF(A112&lt;$D$1,C112,C112*1.2225)</f>
        <v>30.526903385784777</v>
      </c>
      <c r="E112" s="17">
        <f>SQRT(D112*D111)</f>
        <v>30.312443683863513</v>
      </c>
      <c r="F112" s="24">
        <f>E112/$E$507</f>
        <v>1.9735287600631056E-13</v>
      </c>
      <c r="G112" s="24">
        <f>E112/$E$753</f>
        <v>5.4474630109695987E-14</v>
      </c>
    </row>
    <row r="113" spans="1:7" hidden="1" x14ac:dyDescent="0.2">
      <c r="A113" s="4">
        <v>25263</v>
      </c>
      <c r="B113" s="22">
        <f>IGP!B303</f>
        <v>0.53</v>
      </c>
      <c r="C113" s="17">
        <f>C112*(1+B113/100)</f>
        <v>30.688695973729438</v>
      </c>
      <c r="D113" s="17">
        <f>IF(A113&lt;$D$1,C113,C113*1.2225)</f>
        <v>30.688695973729438</v>
      </c>
      <c r="E113" s="17">
        <f>SQRT(D113*D112)</f>
        <v>30.607692775277275</v>
      </c>
      <c r="F113" s="24">
        <f>E113/$E$507</f>
        <v>1.9927513136574152E-13</v>
      </c>
      <c r="G113" s="24">
        <f>E113/$E$753</f>
        <v>5.5005223591789623E-14</v>
      </c>
    </row>
    <row r="114" spans="1:7" hidden="1" x14ac:dyDescent="0.2">
      <c r="A114" s="5">
        <v>25294</v>
      </c>
      <c r="B114" s="22">
        <f>IGP!B304</f>
        <v>1.26</v>
      </c>
      <c r="C114" s="17">
        <f>C113*(1+B114/100)</f>
        <v>31.075373542998427</v>
      </c>
      <c r="D114" s="17">
        <f>IF(A114&lt;$D$1,C114,C114*1.2225)</f>
        <v>31.075373542998427</v>
      </c>
      <c r="E114" s="17">
        <f>SQRT(D114*D113)</f>
        <v>30.881429548049653</v>
      </c>
      <c r="F114" s="24">
        <f>E114/$E$507</f>
        <v>2.0105732814072714E-13</v>
      </c>
      <c r="G114" s="24">
        <f>E114/$E$753</f>
        <v>5.5497157188424568E-14</v>
      </c>
    </row>
    <row r="115" spans="1:7" hidden="1" x14ac:dyDescent="0.2">
      <c r="A115" s="5">
        <v>25324</v>
      </c>
      <c r="B115" s="22">
        <f>IGP!B305</f>
        <v>1.1499999999999999</v>
      </c>
      <c r="C115" s="17">
        <f>C114*(1+B115/100)</f>
        <v>31.43274033874291</v>
      </c>
      <c r="D115" s="17">
        <f>IF(A115&lt;$D$1,C115,C115*1.2225)</f>
        <v>31.43274033874291</v>
      </c>
      <c r="E115" s="17">
        <f>SQRT(D115*D114)</f>
        <v>31.253546158900285</v>
      </c>
      <c r="F115" s="24">
        <f>E115/$E$507</f>
        <v>2.0348003889697631E-13</v>
      </c>
      <c r="G115" s="24">
        <f>E115/$E$753</f>
        <v>5.616588963854217E-14</v>
      </c>
    </row>
    <row r="116" spans="1:7" hidden="1" x14ac:dyDescent="0.2">
      <c r="A116" s="5">
        <v>25355</v>
      </c>
      <c r="B116" s="22">
        <f>IGP!B306</f>
        <v>2.17</v>
      </c>
      <c r="C116" s="17">
        <f>C115*(1+B116/100)</f>
        <v>32.114830804093636</v>
      </c>
      <c r="D116" s="17">
        <f>IF(A116&lt;$D$1,C116,C116*1.2225)</f>
        <v>32.114830804093636</v>
      </c>
      <c r="E116" s="17">
        <f>SQRT(D116*D115)</f>
        <v>31.771955207190782</v>
      </c>
      <c r="F116" s="24">
        <f>E116/$E$507</f>
        <v>2.0685520447896756E-13</v>
      </c>
      <c r="G116" s="24">
        <f>E116/$E$753</f>
        <v>5.7097524891894503E-14</v>
      </c>
    </row>
    <row r="117" spans="1:7" hidden="1" x14ac:dyDescent="0.2">
      <c r="A117" s="4">
        <v>25385</v>
      </c>
      <c r="B117" s="22">
        <f>IGP!B307</f>
        <v>2.2999999999999998</v>
      </c>
      <c r="C117" s="17">
        <f>C116*(1+B117/100)</f>
        <v>32.853471912587786</v>
      </c>
      <c r="D117" s="17">
        <f>IF(A117&lt;$D$1,C117,C117*1.2225)</f>
        <v>32.853471912587786</v>
      </c>
      <c r="E117" s="17">
        <f>SQRT(D117*D116)</f>
        <v>32.482051840975181</v>
      </c>
      <c r="F117" s="24">
        <f>E117/$E$507</f>
        <v>2.1147837555620911E-13</v>
      </c>
      <c r="G117" s="24">
        <f>E117/$E$753</f>
        <v>5.8373642775063964E-14</v>
      </c>
    </row>
    <row r="118" spans="1:7" hidden="1" x14ac:dyDescent="0.2">
      <c r="A118" s="5">
        <v>25416</v>
      </c>
      <c r="B118" s="22">
        <f>IGP!B308</f>
        <v>1.69</v>
      </c>
      <c r="C118" s="17">
        <f>C117*(1+B118/100)</f>
        <v>33.408695587910515</v>
      </c>
      <c r="D118" s="17">
        <f>IF(A118&lt;$D$1,C118,C118*1.2225)</f>
        <v>33.408695587910515</v>
      </c>
      <c r="E118" s="17">
        <f>SQRT(D118*D117)</f>
        <v>33.129920647861709</v>
      </c>
      <c r="F118" s="24">
        <f>E118/$E$507</f>
        <v>2.1569640474736593E-13</v>
      </c>
      <c r="G118" s="24">
        <f>E118/$E$753</f>
        <v>5.9537930748109864E-14</v>
      </c>
    </row>
    <row r="119" spans="1:7" hidden="1" x14ac:dyDescent="0.2">
      <c r="A119" s="5">
        <v>25447</v>
      </c>
      <c r="B119" s="22">
        <f>IGP!B309</f>
        <v>2.21</v>
      </c>
      <c r="C119" s="17">
        <f>C118*(1+B119/100)</f>
        <v>34.14702776040334</v>
      </c>
      <c r="D119" s="17">
        <f>IF(A119&lt;$D$1,C119,C119*1.2225)</f>
        <v>34.14702776040334</v>
      </c>
      <c r="E119" s="17">
        <f>SQRT(D119*D118)</f>
        <v>33.775844263012061</v>
      </c>
      <c r="F119" s="24">
        <f>E119/$E$507</f>
        <v>2.1990176952955849E-13</v>
      </c>
      <c r="G119" s="24">
        <f>E119/$E$753</f>
        <v>6.0698723008258925E-14</v>
      </c>
    </row>
    <row r="120" spans="1:7" hidden="1" x14ac:dyDescent="0.2">
      <c r="A120" s="5">
        <v>25477</v>
      </c>
      <c r="B120" s="22">
        <f>IGP!B310</f>
        <v>1.63</v>
      </c>
      <c r="C120" s="17">
        <f>C119*(1+B120/100)</f>
        <v>34.703624312897915</v>
      </c>
      <c r="D120" s="17">
        <f>IF(A120&lt;$D$1,C120,C120*1.2225)</f>
        <v>34.703624312897915</v>
      </c>
      <c r="E120" s="17">
        <f>SQRT(D120*D119)</f>
        <v>34.424201120710606</v>
      </c>
      <c r="F120" s="24">
        <f>E120/$E$507</f>
        <v>2.2412297623528303E-13</v>
      </c>
      <c r="G120" s="24">
        <f>E120/$E$753</f>
        <v>6.1863888059634005E-14</v>
      </c>
    </row>
    <row r="121" spans="1:7" hidden="1" x14ac:dyDescent="0.2">
      <c r="A121" s="4">
        <v>25508</v>
      </c>
      <c r="B121" s="22">
        <f>IGP!B311</f>
        <v>1.47</v>
      </c>
      <c r="C121" s="17">
        <f>C120*(1+B121/100)</f>
        <v>35.213767590297515</v>
      </c>
      <c r="D121" s="17">
        <f>IF(A121&lt;$D$1,C121,C121*1.2225)</f>
        <v>35.213767590297515</v>
      </c>
      <c r="E121" s="17">
        <f>SQRT(D121*D120)</f>
        <v>34.957765390473483</v>
      </c>
      <c r="F121" s="24">
        <f>E121/$E$507</f>
        <v>2.2759681174224898E-13</v>
      </c>
      <c r="G121" s="24">
        <f>E121/$E$753</f>
        <v>6.2822758830272518E-14</v>
      </c>
    </row>
    <row r="122" spans="1:7" hidden="1" x14ac:dyDescent="0.2">
      <c r="A122" s="5">
        <v>25538</v>
      </c>
      <c r="B122" s="22">
        <f>IGP!B312</f>
        <v>0.28999999999999998</v>
      </c>
      <c r="C122" s="17">
        <f>C121*(1+B122/100)</f>
        <v>35.315887516309374</v>
      </c>
      <c r="D122" s="17">
        <f>IF(A122&lt;$D$1,C122,C122*1.2225)</f>
        <v>35.315887516309374</v>
      </c>
      <c r="E122" s="17">
        <f>SQRT(D122*D121)</f>
        <v>35.264790588409959</v>
      </c>
      <c r="F122" s="24">
        <f>E122/$E$507</f>
        <v>2.2959573688504192E-13</v>
      </c>
      <c r="G122" s="24">
        <f>E122/$E$753</f>
        <v>6.3374515206841034E-14</v>
      </c>
    </row>
    <row r="123" spans="1:7" hidden="1" x14ac:dyDescent="0.2">
      <c r="A123" s="5">
        <v>25569</v>
      </c>
      <c r="B123" s="22">
        <f>IGP!B313</f>
        <v>1.25</v>
      </c>
      <c r="C123" s="17">
        <f>C122*(1+B123/100)</f>
        <v>35.757336110263239</v>
      </c>
      <c r="D123" s="17">
        <f>IF(A123&lt;$D$1,C123,C123*1.2225)</f>
        <v>35.757336110263239</v>
      </c>
      <c r="E123" s="17">
        <f>SQRT(D123*D122)</f>
        <v>35.535926327491786</v>
      </c>
      <c r="F123" s="24">
        <f>E123/$E$507</f>
        <v>2.313609993117192E-13</v>
      </c>
      <c r="G123" s="24">
        <f>E123/$E$753</f>
        <v>6.3861774474026557E-14</v>
      </c>
    </row>
    <row r="124" spans="1:7" hidden="1" x14ac:dyDescent="0.2">
      <c r="A124" s="4">
        <v>25600</v>
      </c>
      <c r="B124" s="22">
        <f>IGP!B314</f>
        <v>1.42</v>
      </c>
      <c r="C124" s="17">
        <f>C123*(1+B124/100)</f>
        <v>36.265090283028975</v>
      </c>
      <c r="D124" s="17">
        <f>IF(A124&lt;$D$1,C124,C124*1.2225)</f>
        <v>36.265090283028975</v>
      </c>
      <c r="E124" s="17">
        <f>SQRT(D124*D123)</f>
        <v>36.010318275729091</v>
      </c>
      <c r="F124" s="24">
        <f>E124/$E$507</f>
        <v>2.344495861744375E-13</v>
      </c>
      <c r="G124" s="24">
        <f>E124/$E$753</f>
        <v>6.4714306397112722E-14</v>
      </c>
    </row>
    <row r="125" spans="1:7" hidden="1" x14ac:dyDescent="0.2">
      <c r="A125" s="5">
        <v>25628</v>
      </c>
      <c r="B125" s="22">
        <f>IGP!B315</f>
        <v>1.92</v>
      </c>
      <c r="C125" s="17">
        <f>C124*(1+B125/100)</f>
        <v>36.961380016463139</v>
      </c>
      <c r="D125" s="17">
        <f>IF(A125&lt;$D$1,C125,C125*1.2225)</f>
        <v>36.961380016463139</v>
      </c>
      <c r="E125" s="17">
        <f>SQRT(D125*D124)</f>
        <v>36.611579906941721</v>
      </c>
      <c r="F125" s="24">
        <f>E125/$E$507</f>
        <v>2.3836417364186843E-13</v>
      </c>
      <c r="G125" s="24">
        <f>E125/$E$753</f>
        <v>6.5794836403240076E-14</v>
      </c>
    </row>
    <row r="126" spans="1:7" hidden="1" x14ac:dyDescent="0.2">
      <c r="A126" s="5">
        <v>25659</v>
      </c>
      <c r="B126" s="22">
        <f>IGP!B316</f>
        <v>0.32</v>
      </c>
      <c r="C126" s="17">
        <f>C125*(1+B126/100)</f>
        <v>37.079656432515826</v>
      </c>
      <c r="D126" s="17">
        <f>IF(A126&lt;$D$1,C126,C126*1.2225)</f>
        <v>37.079656432515826</v>
      </c>
      <c r="E126" s="17">
        <f>SQRT(D126*D125)</f>
        <v>37.020470989468912</v>
      </c>
      <c r="F126" s="24">
        <f>E126/$E$507</f>
        <v>2.4102630909856973E-13</v>
      </c>
      <c r="G126" s="24">
        <f>E126/$E$753</f>
        <v>6.6529656423299348E-14</v>
      </c>
    </row>
    <row r="127" spans="1:7" hidden="1" x14ac:dyDescent="0.2">
      <c r="A127" s="5">
        <v>25689</v>
      </c>
      <c r="B127" s="22">
        <f>IGP!B317</f>
        <v>1.6</v>
      </c>
      <c r="C127" s="17">
        <f>C126*(1+B127/100)</f>
        <v>37.672930935436078</v>
      </c>
      <c r="D127" s="17">
        <f>IF(A127&lt;$D$1,C127,C127*1.2225)</f>
        <v>37.672930935436078</v>
      </c>
      <c r="E127" s="17">
        <f>SQRT(D127*D126)</f>
        <v>37.375116533488786</v>
      </c>
      <c r="F127" s="24">
        <f>E127/$E$507</f>
        <v>2.4333527233509044E-13</v>
      </c>
      <c r="G127" s="24">
        <f>E127/$E$753</f>
        <v>6.7166991539927338E-14</v>
      </c>
    </row>
    <row r="128" spans="1:7" hidden="1" x14ac:dyDescent="0.2">
      <c r="A128" s="4">
        <v>25720</v>
      </c>
      <c r="B128" s="22">
        <f>IGP!B318</f>
        <v>2.21</v>
      </c>
      <c r="C128" s="17">
        <f>C127*(1+B128/100)</f>
        <v>38.505502709109216</v>
      </c>
      <c r="D128" s="17">
        <f>IF(A128&lt;$D$1,C128,C128*1.2225)</f>
        <v>38.505502709109216</v>
      </c>
      <c r="E128" s="17">
        <f>SQRT(D128*D127)</f>
        <v>38.086941911822194</v>
      </c>
      <c r="F128" s="24">
        <f>E128/$E$507</f>
        <v>2.4796969861538279E-13</v>
      </c>
      <c r="G128" s="24">
        <f>E128/$E$753</f>
        <v>6.8446216157771298E-14</v>
      </c>
    </row>
    <row r="129" spans="1:7" hidden="1" x14ac:dyDescent="0.2">
      <c r="A129" s="5">
        <v>25750</v>
      </c>
      <c r="B129" s="22">
        <f>IGP!B319</f>
        <v>1.72</v>
      </c>
      <c r="C129" s="17">
        <f>C128*(1+B129/100)</f>
        <v>39.1677973557059</v>
      </c>
      <c r="D129" s="17">
        <f>IF(A129&lt;$D$1,C129,C129*1.2225)</f>
        <v>39.1677973557059</v>
      </c>
      <c r="E129" s="17">
        <f>SQRT(D129*D128)</f>
        <v>38.835238214667541</v>
      </c>
      <c r="F129" s="24">
        <f>E129/$E$507</f>
        <v>2.5284157331514619E-13</v>
      </c>
      <c r="G129" s="24">
        <f>E129/$E$753</f>
        <v>6.9790982839569804E-14</v>
      </c>
    </row>
    <row r="130" spans="1:7" x14ac:dyDescent="0.2">
      <c r="A130" s="5">
        <v>25781</v>
      </c>
      <c r="B130" s="22">
        <f>IGP!B320</f>
        <v>2.2999999999999998</v>
      </c>
      <c r="C130" s="17">
        <f>C129*(1+B130/100)</f>
        <v>40.068656694887132</v>
      </c>
      <c r="D130" s="17">
        <f>IF(A130&lt;$D$1,C130,C130*1.2225)</f>
        <v>40.068656694887132</v>
      </c>
      <c r="E130" s="17">
        <f>SQRT(D130*D129)</f>
        <v>39.615666417980243</v>
      </c>
      <c r="F130" s="24">
        <f>E130/$E$507</f>
        <v>2.5792264668707595E-13</v>
      </c>
      <c r="G130" s="25">
        <f>E130/$E$753</f>
        <v>7.1193493905520767E-14</v>
      </c>
    </row>
    <row r="131" spans="1:7" hidden="1" x14ac:dyDescent="0.2">
      <c r="A131" s="5">
        <v>25812</v>
      </c>
      <c r="B131" s="22">
        <f>IGP!B321</f>
        <v>1.99</v>
      </c>
      <c r="C131" s="17">
        <f>C130*(1+B131/100)</f>
        <v>40.866022963115384</v>
      </c>
      <c r="D131" s="17">
        <f>IF(A131&lt;$D$1,C131,C131*1.2225)</f>
        <v>40.866022963115384</v>
      </c>
      <c r="E131" s="17">
        <f>SQRT(D131*D130)</f>
        <v>40.465375873633555</v>
      </c>
      <c r="F131" s="24">
        <f>E131/$E$507</f>
        <v>2.6345478413504445E-13</v>
      </c>
      <c r="G131" s="24">
        <f>E131/$E$753</f>
        <v>7.2720510624468643E-14</v>
      </c>
    </row>
    <row r="132" spans="1:7" hidden="1" x14ac:dyDescent="0.2">
      <c r="A132" s="4">
        <v>25842</v>
      </c>
      <c r="B132" s="22">
        <f>IGP!B322</f>
        <v>1.49</v>
      </c>
      <c r="C132" s="17">
        <f>C131*(1+B132/100)</f>
        <v>41.474926705265801</v>
      </c>
      <c r="D132" s="17">
        <f>IF(A132&lt;$D$1,C132,C132*1.2225)</f>
        <v>41.474926705265801</v>
      </c>
      <c r="E132" s="17">
        <f>SQRT(D132*D131)</f>
        <v>41.169349122021828</v>
      </c>
      <c r="F132" s="24">
        <f>E132/$E$507</f>
        <v>2.6803808816192795E-13</v>
      </c>
      <c r="G132" s="24">
        <f>E132/$E$753</f>
        <v>7.398562414395327E-14</v>
      </c>
    </row>
    <row r="133" spans="1:7" hidden="1" x14ac:dyDescent="0.2">
      <c r="A133" s="5">
        <v>25873</v>
      </c>
      <c r="B133" s="22">
        <f>IGP!B323</f>
        <v>0.78</v>
      </c>
      <c r="C133" s="17">
        <f>C132*(1+B133/100)</f>
        <v>41.798431133566879</v>
      </c>
      <c r="D133" s="17">
        <f>IF(A133&lt;$D$1,C133,C133*1.2225)</f>
        <v>41.798431133566879</v>
      </c>
      <c r="E133" s="17">
        <f>SQRT(D133*D132)</f>
        <v>41.636364726760029</v>
      </c>
      <c r="F133" s="24">
        <f>E133/$E$507</f>
        <v>2.7107865043714877E-13</v>
      </c>
      <c r="G133" s="24">
        <f>E133/$E$753</f>
        <v>7.4824900006661512E-14</v>
      </c>
    </row>
    <row r="134" spans="1:7" hidden="1" x14ac:dyDescent="0.2">
      <c r="A134" s="5">
        <v>25903</v>
      </c>
      <c r="B134" s="22">
        <f>IGP!B324</f>
        <v>0.77</v>
      </c>
      <c r="C134" s="17">
        <f>C133*(1+B134/100)</f>
        <v>42.120279053295349</v>
      </c>
      <c r="D134" s="17">
        <f>IF(A134&lt;$D$1,C134,C134*1.2225)</f>
        <v>42.120279053295349</v>
      </c>
      <c r="E134" s="17">
        <f>SQRT(D134*D133)</f>
        <v>41.959046501747217</v>
      </c>
      <c r="F134" s="24">
        <f>E134/$E$507</f>
        <v>2.7317950964179425E-13</v>
      </c>
      <c r="G134" s="24">
        <f>E134/$E$753</f>
        <v>7.5404792888901312E-14</v>
      </c>
    </row>
    <row r="135" spans="1:7" hidden="1" x14ac:dyDescent="0.2">
      <c r="A135" s="5">
        <v>25934</v>
      </c>
      <c r="B135" s="22">
        <f>IGP!B325</f>
        <v>1.61</v>
      </c>
      <c r="C135" s="17">
        <f>C134*(1+B135/100)</f>
        <v>42.798415546053405</v>
      </c>
      <c r="D135" s="17">
        <f>IF(A135&lt;$D$1,C135,C135*1.2225)</f>
        <v>42.798415546053405</v>
      </c>
      <c r="E135" s="17">
        <f>SQRT(D135*D134)</f>
        <v>42.457993426899762</v>
      </c>
      <c r="F135" s="24">
        <f>E135/$E$507</f>
        <v>2.7642796468818756E-13</v>
      </c>
      <c r="G135" s="24">
        <f>E135/$E$753</f>
        <v>7.6301452672438457E-14</v>
      </c>
    </row>
    <row r="136" spans="1:7" hidden="1" x14ac:dyDescent="0.2">
      <c r="A136" s="4">
        <v>25965</v>
      </c>
      <c r="B136" s="22">
        <f>IGP!B326</f>
        <v>1.55</v>
      </c>
      <c r="C136" s="17">
        <f>C135*(1+B136/100)</f>
        <v>43.461790987017238</v>
      </c>
      <c r="D136" s="17">
        <f>IF(A136&lt;$D$1,C136,C136*1.2225)</f>
        <v>43.461790987017238</v>
      </c>
      <c r="E136" s="17">
        <f>SQRT(D136*D135)</f>
        <v>43.128827842153122</v>
      </c>
      <c r="F136" s="24">
        <f>E136/$E$507</f>
        <v>2.8079551428448552E-13</v>
      </c>
      <c r="G136" s="24">
        <f>E136/$E$753</f>
        <v>7.7507012244504053E-14</v>
      </c>
    </row>
    <row r="137" spans="1:7" hidden="1" x14ac:dyDescent="0.2">
      <c r="A137" s="5">
        <v>25993</v>
      </c>
      <c r="B137" s="22">
        <f>IGP!B327</f>
        <v>1.99</v>
      </c>
      <c r="C137" s="17">
        <f>C136*(1+B137/100)</f>
        <v>44.326680627658881</v>
      </c>
      <c r="D137" s="17">
        <f>IF(A137&lt;$D$1,C137,C137*1.2225)</f>
        <v>44.326680627658881</v>
      </c>
      <c r="E137" s="17">
        <f>SQRT(D137*D136)</f>
        <v>43.892105538326327</v>
      </c>
      <c r="F137" s="24">
        <f>E137/$E$507</f>
        <v>2.857649271798055E-13</v>
      </c>
      <c r="G137" s="24">
        <f>E137/$E$753</f>
        <v>7.8878702056241359E-14</v>
      </c>
    </row>
    <row r="138" spans="1:7" hidden="1" x14ac:dyDescent="0.2">
      <c r="A138" s="5">
        <v>26024</v>
      </c>
      <c r="B138" s="22">
        <f>IGP!B328</f>
        <v>1.73</v>
      </c>
      <c r="C138" s="17">
        <f>C137*(1+B138/100)</f>
        <v>45.09353220251738</v>
      </c>
      <c r="D138" s="17">
        <f>IF(A138&lt;$D$1,C138,C138*1.2225)</f>
        <v>45.09353220251738</v>
      </c>
      <c r="E138" s="17">
        <f>SQRT(D138*D137)</f>
        <v>44.708462289750464</v>
      </c>
      <c r="F138" s="24">
        <f>E138/$E$507</f>
        <v>2.9107991776324331E-13</v>
      </c>
      <c r="G138" s="24">
        <f>E138/$E$753</f>
        <v>8.0345780479056089E-14</v>
      </c>
    </row>
    <row r="139" spans="1:7" hidden="1" x14ac:dyDescent="0.2">
      <c r="A139" s="4">
        <v>26054</v>
      </c>
      <c r="B139" s="22">
        <f>IGP!B329</f>
        <v>1.84</v>
      </c>
      <c r="C139" s="17">
        <f>C138*(1+B139/100)</f>
        <v>45.923253195043699</v>
      </c>
      <c r="D139" s="17">
        <f>IF(A139&lt;$D$1,C139,C139*1.2225)</f>
        <v>45.923253195043699</v>
      </c>
      <c r="E139" s="17">
        <f>SQRT(D139*D138)</f>
        <v>45.506501698054777</v>
      </c>
      <c r="F139" s="24">
        <f>E139/$E$507</f>
        <v>2.9627565104155604E-13</v>
      </c>
      <c r="G139" s="24">
        <f>E139/$E$753</f>
        <v>8.1779940721421519E-14</v>
      </c>
    </row>
    <row r="140" spans="1:7" hidden="1" x14ac:dyDescent="0.2">
      <c r="A140" s="5">
        <v>26085</v>
      </c>
      <c r="B140" s="22">
        <f>IGP!B330</f>
        <v>2.2799999999999998</v>
      </c>
      <c r="C140" s="17">
        <f>C139*(1+B140/100)</f>
        <v>46.970303367890693</v>
      </c>
      <c r="D140" s="17">
        <f>IF(A140&lt;$D$1,C140,C140*1.2225)</f>
        <v>46.970303367890693</v>
      </c>
      <c r="E140" s="17">
        <f>SQRT(D140*D139)</f>
        <v>46.443827729975681</v>
      </c>
      <c r="F140" s="24">
        <f>E140/$E$507</f>
        <v>3.0237822693693484E-13</v>
      </c>
      <c r="G140" s="24">
        <f>E140/$E$753</f>
        <v>8.3464413587205742E-14</v>
      </c>
    </row>
    <row r="141" spans="1:7" hidden="1" x14ac:dyDescent="0.2">
      <c r="A141" s="5">
        <v>26115</v>
      </c>
      <c r="B141" s="22">
        <f>IGP!B331</f>
        <v>1.49</v>
      </c>
      <c r="C141" s="17">
        <f>C140*(1+B141/100)</f>
        <v>47.67016088807226</v>
      </c>
      <c r="D141" s="17">
        <f>IF(A141&lt;$D$1,C141,C141*1.2225)</f>
        <v>47.67016088807226</v>
      </c>
      <c r="E141" s="17">
        <f>SQRT(D141*D140)</f>
        <v>47.318938264810122</v>
      </c>
      <c r="F141" s="24">
        <f>E141/$E$507</f>
        <v>3.0807574122097576E-13</v>
      </c>
      <c r="G141" s="24">
        <f>E141/$E$753</f>
        <v>8.5037078700826444E-14</v>
      </c>
    </row>
    <row r="142" spans="1:7" hidden="1" x14ac:dyDescent="0.2">
      <c r="A142" s="5">
        <v>26146</v>
      </c>
      <c r="B142" s="22">
        <f>IGP!B332</f>
        <v>0.93</v>
      </c>
      <c r="C142" s="17">
        <f>C141*(1+B142/100)</f>
        <v>48.113493384331335</v>
      </c>
      <c r="D142" s="17">
        <f>IF(A142&lt;$D$1,C142,C142*1.2225)</f>
        <v>48.113493384331335</v>
      </c>
      <c r="E142" s="17">
        <f>SQRT(D142*D141)</f>
        <v>47.891314144824584</v>
      </c>
      <c r="F142" s="24">
        <f>E142/$E$507</f>
        <v>3.1180226446851021E-13</v>
      </c>
      <c r="G142" s="24">
        <f>E142/$E$753</f>
        <v>8.606569799238484E-14</v>
      </c>
    </row>
    <row r="143" spans="1:7" hidden="1" x14ac:dyDescent="0.2">
      <c r="A143" s="4">
        <v>26177</v>
      </c>
      <c r="B143" s="22">
        <f>IGP!B333</f>
        <v>1.44</v>
      </c>
      <c r="C143" s="17">
        <f>C142*(1+B143/100)</f>
        <v>48.806327689065704</v>
      </c>
      <c r="D143" s="17">
        <f>IF(A143&lt;$D$1,C143,C143*1.2225)</f>
        <v>48.806327689065704</v>
      </c>
      <c r="E143" s="17">
        <f>SQRT(D143*D142)</f>
        <v>48.458672334076283</v>
      </c>
      <c r="F143" s="24">
        <f>E143/$E$507</f>
        <v>3.1549611942597645E-13</v>
      </c>
      <c r="G143" s="24">
        <f>E143/$E$753</f>
        <v>8.7085299969101945E-14</v>
      </c>
    </row>
    <row r="144" spans="1:7" hidden="1" x14ac:dyDescent="0.2">
      <c r="A144" s="5">
        <v>26207</v>
      </c>
      <c r="B144" s="22">
        <f>IGP!B334</f>
        <v>1.22</v>
      </c>
      <c r="C144" s="17">
        <f>C143*(1+B144/100)</f>
        <v>49.401764886872307</v>
      </c>
      <c r="D144" s="17">
        <f>IF(A144&lt;$D$1,C144,C144*1.2225)</f>
        <v>49.401764886872307</v>
      </c>
      <c r="E144" s="17">
        <f>SQRT(D144*D143)</f>
        <v>49.103143743419011</v>
      </c>
      <c r="F144" s="24">
        <f>E144/$E$507</f>
        <v>3.1969202944445297E-13</v>
      </c>
      <c r="G144" s="24">
        <f>E144/$E$753</f>
        <v>8.8243482463603648E-14</v>
      </c>
    </row>
    <row r="145" spans="1:7" hidden="1" x14ac:dyDescent="0.2">
      <c r="A145" s="5">
        <v>26238</v>
      </c>
      <c r="B145" s="22">
        <f>IGP!B335</f>
        <v>1.02</v>
      </c>
      <c r="C145" s="17">
        <f>C144*(1+B145/100)</f>
        <v>49.905662888718403</v>
      </c>
      <c r="D145" s="17">
        <f>IF(A145&lt;$D$1,C145,C145*1.2225)</f>
        <v>49.905662888718403</v>
      </c>
      <c r="E145" s="17">
        <f>SQRT(D145*D144)</f>
        <v>49.653074673699464</v>
      </c>
      <c r="F145" s="24">
        <f>E145/$E$507</f>
        <v>3.2327242209862385E-13</v>
      </c>
      <c r="G145" s="24">
        <f>E145/$E$753</f>
        <v>8.9231765834134282E-14</v>
      </c>
    </row>
    <row r="146" spans="1:7" hidden="1" x14ac:dyDescent="0.2">
      <c r="A146" s="5">
        <v>26268</v>
      </c>
      <c r="B146" s="22">
        <f>IGP!B336</f>
        <v>0.84</v>
      </c>
      <c r="C146" s="17">
        <f>C145*(1+B146/100)</f>
        <v>50.324870456983639</v>
      </c>
      <c r="D146" s="17">
        <f>IF(A146&lt;$D$1,C146,C146*1.2225)</f>
        <v>50.324870456983639</v>
      </c>
      <c r="E146" s="17">
        <f>SQRT(D146*D145)</f>
        <v>50.114828343960731</v>
      </c>
      <c r="F146" s="24">
        <f>E146/$E$507</f>
        <v>3.2627872590517053E-13</v>
      </c>
      <c r="G146" s="24">
        <f>E146/$E$753</f>
        <v>9.0061585450514054E-14</v>
      </c>
    </row>
    <row r="147" spans="1:7" hidden="1" x14ac:dyDescent="0.2">
      <c r="A147" s="4">
        <v>26299</v>
      </c>
      <c r="B147" s="22">
        <f>IGP!B337</f>
        <v>1.66</v>
      </c>
      <c r="C147" s="17">
        <f>C146*(1+B147/100)</f>
        <v>51.160263306569568</v>
      </c>
      <c r="D147" s="17">
        <f>IF(A147&lt;$D$1,C147,C147*1.2225)</f>
        <v>51.160263306569568</v>
      </c>
      <c r="E147" s="17">
        <f>SQRT(D147*D146)</f>
        <v>50.740847681609409</v>
      </c>
      <c r="F147" s="24">
        <f>E147/$E$507</f>
        <v>3.3035450145164353E-13</v>
      </c>
      <c r="G147" s="24">
        <f>E147/$E$753</f>
        <v>9.1186607643234291E-14</v>
      </c>
    </row>
    <row r="148" spans="1:7" hidden="1" x14ac:dyDescent="0.2">
      <c r="A148" s="5">
        <v>26330</v>
      </c>
      <c r="B148" s="22">
        <f>IGP!B338</f>
        <v>1.97</v>
      </c>
      <c r="C148" s="17">
        <f>C147*(1+B148/100)</f>
        <v>52.16812049370899</v>
      </c>
      <c r="D148" s="17">
        <f>IF(A148&lt;$D$1,C148,C148*1.2225)</f>
        <v>52.16812049370899</v>
      </c>
      <c r="E148" s="17">
        <f>SQRT(D148*D147)</f>
        <v>51.661734201118335</v>
      </c>
      <c r="F148" s="24">
        <f>E148/$E$507</f>
        <v>3.3635004588863907E-13</v>
      </c>
      <c r="G148" s="24">
        <f>E148/$E$753</f>
        <v>9.2841536986656342E-14</v>
      </c>
    </row>
    <row r="149" spans="1:7" hidden="1" x14ac:dyDescent="0.2">
      <c r="A149" s="5">
        <v>26359</v>
      </c>
      <c r="B149" s="22">
        <f>IGP!B339</f>
        <v>1.62</v>
      </c>
      <c r="C149" s="17">
        <f>C148*(1+B149/100)</f>
        <v>53.013244045707076</v>
      </c>
      <c r="D149" s="17">
        <f>IF(A149&lt;$D$1,C149,C149*1.2225)</f>
        <v>53.013244045707076</v>
      </c>
      <c r="E149" s="17">
        <f>SQRT(D149*D148)</f>
        <v>52.588984617872661</v>
      </c>
      <c r="F149" s="24">
        <f>E149/$E$507</f>
        <v>3.4238702325783522E-13</v>
      </c>
      <c r="G149" s="24">
        <f>E149/$E$753</f>
        <v>9.4507902918699047E-14</v>
      </c>
    </row>
    <row r="150" spans="1:7" hidden="1" x14ac:dyDescent="0.2">
      <c r="A150" s="5">
        <v>26390</v>
      </c>
      <c r="B150" s="22">
        <f>IGP!B340</f>
        <v>1.08</v>
      </c>
      <c r="C150" s="17">
        <f>C149*(1+B150/100)</f>
        <v>53.58578708140071</v>
      </c>
      <c r="D150" s="17">
        <f>IF(A150&lt;$D$1,C150,C150*1.2225)</f>
        <v>53.58578708140071</v>
      </c>
      <c r="E150" s="17">
        <f>SQRT(D150*D149)</f>
        <v>53.298746776332308</v>
      </c>
      <c r="F150" s="24">
        <f>E150/$E$507</f>
        <v>3.4700801669252239E-13</v>
      </c>
      <c r="G150" s="24">
        <f>E150/$E$753</f>
        <v>9.5783419714744463E-14</v>
      </c>
    </row>
    <row r="151" spans="1:7" hidden="1" x14ac:dyDescent="0.2">
      <c r="A151" s="4">
        <v>26420</v>
      </c>
      <c r="B151" s="22">
        <f>IGP!B341</f>
        <v>0.86</v>
      </c>
      <c r="C151" s="17">
        <f>C150*(1+B151/100)</f>
        <v>54.046624850300752</v>
      </c>
      <c r="D151" s="17">
        <f>IF(A151&lt;$D$1,C151,C151*1.2225)</f>
        <v>54.046624850300752</v>
      </c>
      <c r="E151" s="17">
        <f>SQRT(D151*D150)</f>
        <v>53.815712684090293</v>
      </c>
      <c r="F151" s="24">
        <f>E151/$E$507</f>
        <v>3.5037378653138111E-13</v>
      </c>
      <c r="G151" s="24">
        <f>E151/$E$753</f>
        <v>9.6712461493696485E-14</v>
      </c>
    </row>
    <row r="152" spans="1:7" hidden="1" x14ac:dyDescent="0.2">
      <c r="A152" s="5">
        <v>26451</v>
      </c>
      <c r="B152" s="22">
        <f>IGP!B342</f>
        <v>1.07</v>
      </c>
      <c r="C152" s="17">
        <f>C151*(1+B152/100)</f>
        <v>54.624923736198966</v>
      </c>
      <c r="D152" s="17">
        <f>IF(A152&lt;$D$1,C152,C152*1.2225)</f>
        <v>54.624923736198966</v>
      </c>
      <c r="E152" s="17">
        <f>SQRT(D152*D151)</f>
        <v>54.335004929112088</v>
      </c>
      <c r="F152" s="24">
        <f>E152/$E$507</f>
        <v>3.5375470227382855E-13</v>
      </c>
      <c r="G152" s="24">
        <f>E152/$E$753</f>
        <v>9.7645683943902788E-14</v>
      </c>
    </row>
    <row r="153" spans="1:7" hidden="1" x14ac:dyDescent="0.2">
      <c r="A153" s="5">
        <v>26481</v>
      </c>
      <c r="B153" s="22">
        <f>IGP!B343</f>
        <v>1.38</v>
      </c>
      <c r="C153" s="17">
        <f>C152*(1+B153/100)</f>
        <v>55.378747683758512</v>
      </c>
      <c r="D153" s="17">
        <f>IF(A153&lt;$D$1,C153,C153*1.2225)</f>
        <v>55.378747683758512</v>
      </c>
      <c r="E153" s="17">
        <f>SQRT(D153*D152)</f>
        <v>55.000544259411782</v>
      </c>
      <c r="F153" s="24">
        <f>E153/$E$507</f>
        <v>3.5808777757121472E-13</v>
      </c>
      <c r="G153" s="24">
        <f>E153/$E$753</f>
        <v>9.8841727694767744E-14</v>
      </c>
    </row>
    <row r="154" spans="1:7" hidden="1" x14ac:dyDescent="0.2">
      <c r="A154" s="4">
        <v>26512</v>
      </c>
      <c r="B154" s="22">
        <f>IGP!B344</f>
        <v>1.43</v>
      </c>
      <c r="C154" s="17">
        <f>C153*(1+B154/100)</f>
        <v>56.170663775636257</v>
      </c>
      <c r="D154" s="17">
        <f>IF(A154&lt;$D$1,C154,C154*1.2225)</f>
        <v>56.170663775636257</v>
      </c>
      <c r="E154" s="17">
        <f>SQRT(D154*D153)</f>
        <v>55.773300211303564</v>
      </c>
      <c r="F154" s="24">
        <f>E154/$E$507</f>
        <v>3.6311889981089153E-13</v>
      </c>
      <c r="G154" s="24">
        <f>E154/$E$753</f>
        <v>1.0023045092287159E-13</v>
      </c>
    </row>
    <row r="155" spans="1:7" hidden="1" x14ac:dyDescent="0.2">
      <c r="A155" s="5">
        <v>26543</v>
      </c>
      <c r="B155" s="22">
        <f>IGP!B345</f>
        <v>1.1200000000000001</v>
      </c>
      <c r="C155" s="17">
        <f>C154*(1+B155/100)</f>
        <v>56.799775209923389</v>
      </c>
      <c r="D155" s="17">
        <f>IF(A155&lt;$D$1,C155,C155*1.2225)</f>
        <v>56.799775209923389</v>
      </c>
      <c r="E155" s="17">
        <f>SQRT(D155*D154)</f>
        <v>56.484343634748257</v>
      </c>
      <c r="F155" s="24">
        <f>E155/$E$507</f>
        <v>3.6774823507813968E-13</v>
      </c>
      <c r="G155" s="24">
        <f>E155/$E$753</f>
        <v>1.0150827028603633E-13</v>
      </c>
    </row>
    <row r="156" spans="1:7" hidden="1" x14ac:dyDescent="0.2">
      <c r="A156" s="5">
        <v>26573</v>
      </c>
      <c r="B156" s="22">
        <f>IGP!B346</f>
        <v>0.94</v>
      </c>
      <c r="C156" s="17">
        <f>C155*(1+B156/100)</f>
        <v>57.333693096896674</v>
      </c>
      <c r="D156" s="17">
        <f>IF(A156&lt;$D$1,C156,C156*1.2225)</f>
        <v>57.333693096896674</v>
      </c>
      <c r="E156" s="17">
        <f>SQRT(D156*D155)</f>
        <v>57.066109731244758</v>
      </c>
      <c r="F156" s="24">
        <f>E156/$E$507</f>
        <v>3.7153589447980216E-13</v>
      </c>
      <c r="G156" s="24">
        <f>E156/$E$753</f>
        <v>1.0255376477824974E-13</v>
      </c>
    </row>
    <row r="157" spans="1:7" hidden="1" x14ac:dyDescent="0.2">
      <c r="A157" s="5">
        <v>26604</v>
      </c>
      <c r="B157" s="22">
        <f>IGP!B347</f>
        <v>0.87</v>
      </c>
      <c r="C157" s="17">
        <f>C156*(1+B157/100)</f>
        <v>57.832496226839673</v>
      </c>
      <c r="D157" s="17">
        <f>IF(A157&lt;$D$1,C157,C157*1.2225)</f>
        <v>57.832496226839673</v>
      </c>
      <c r="E157" s="17">
        <f>SQRT(D157*D156)</f>
        <v>57.582554560361949</v>
      </c>
      <c r="F157" s="24">
        <f>E157/$E$507</f>
        <v>3.7489827177237004E-13</v>
      </c>
      <c r="G157" s="24">
        <f>E157/$E$753</f>
        <v>1.034818701244116E-13</v>
      </c>
    </row>
    <row r="158" spans="1:7" hidden="1" x14ac:dyDescent="0.2">
      <c r="A158" s="4">
        <v>26634</v>
      </c>
      <c r="B158" s="22">
        <f>IGP!B348</f>
        <v>0.71</v>
      </c>
      <c r="C158" s="17">
        <f>C157*(1+B158/100)</f>
        <v>58.24310695005024</v>
      </c>
      <c r="D158" s="17">
        <f>IF(A158&lt;$D$1,C158,C158*1.2225)</f>
        <v>58.24310695005024</v>
      </c>
      <c r="E158" s="17">
        <f>SQRT(D158*D157)</f>
        <v>58.037438459396192</v>
      </c>
      <c r="F158" s="24">
        <f>E158/$E$507</f>
        <v>3.778598490922204E-13</v>
      </c>
      <c r="G158" s="24">
        <f>E158/$E$753</f>
        <v>1.0429934404374255E-13</v>
      </c>
    </row>
    <row r="159" spans="1:7" hidden="1" x14ac:dyDescent="0.2">
      <c r="A159" s="5">
        <v>26665</v>
      </c>
      <c r="B159" s="22">
        <f>IGP!B349</f>
        <v>1.65</v>
      </c>
      <c r="C159" s="17">
        <f>C158*(1+B159/100)</f>
        <v>59.204118214726066</v>
      </c>
      <c r="D159" s="17">
        <f>IF(A159&lt;$D$1,C159,C159*1.2225)</f>
        <v>59.204118214726066</v>
      </c>
      <c r="E159" s="17">
        <f>SQRT(D159*D158)</f>
        <v>58.721646682153832</v>
      </c>
      <c r="F159" s="24">
        <f>E159/$E$507</f>
        <v>3.8231447049974051E-13</v>
      </c>
      <c r="G159" s="24">
        <f>E159/$E$753</f>
        <v>1.0552893774596776E-13</v>
      </c>
    </row>
    <row r="160" spans="1:7" hidden="1" x14ac:dyDescent="0.2">
      <c r="A160" s="5">
        <v>26696</v>
      </c>
      <c r="B160" s="22">
        <f>IGP!B350</f>
        <v>1.1599999999999999</v>
      </c>
      <c r="C160" s="17">
        <f>C159*(1+B160/100)</f>
        <v>59.89088598601689</v>
      </c>
      <c r="D160" s="17">
        <f>IF(A160&lt;$D$1,C160,C160*1.2225)</f>
        <v>59.89088598601689</v>
      </c>
      <c r="E160" s="17">
        <f>SQRT(D160*D159)</f>
        <v>59.546512021283199</v>
      </c>
      <c r="F160" s="24">
        <f>E160/$E$507</f>
        <v>3.8768485728520977E-13</v>
      </c>
      <c r="G160" s="24">
        <f>E160/$E$753</f>
        <v>1.0701130699036166E-13</v>
      </c>
    </row>
    <row r="161" spans="1:7" hidden="1" x14ac:dyDescent="0.2">
      <c r="A161" s="5">
        <v>26724</v>
      </c>
      <c r="B161" s="22">
        <f>IGP!B351</f>
        <v>1.44</v>
      </c>
      <c r="C161" s="17">
        <f>C160*(1+B161/100)</f>
        <v>60.75331474421553</v>
      </c>
      <c r="D161" s="17">
        <f>IF(A161&lt;$D$1,C161,C161*1.2225)</f>
        <v>60.75331474421553</v>
      </c>
      <c r="E161" s="17">
        <f>SQRT(D161*D160)</f>
        <v>60.320559070837625</v>
      </c>
      <c r="F161" s="24">
        <f>E161/$E$507</f>
        <v>3.9272438537429898E-13</v>
      </c>
      <c r="G161" s="24">
        <f>E161/$E$753</f>
        <v>1.0840235045593436E-13</v>
      </c>
    </row>
    <row r="162" spans="1:7" hidden="1" x14ac:dyDescent="0.2">
      <c r="A162" s="4">
        <v>26755</v>
      </c>
      <c r="B162" s="22">
        <f>IGP!B352</f>
        <v>1.45</v>
      </c>
      <c r="C162" s="17">
        <f>C161*(1+B162/100)</f>
        <v>61.634237808006652</v>
      </c>
      <c r="D162" s="17">
        <f>IF(A162&lt;$D$1,C162,C162*1.2225)</f>
        <v>61.634237808006652</v>
      </c>
      <c r="E162" s="17">
        <f>SQRT(D162*D161)</f>
        <v>61.192191075084544</v>
      </c>
      <c r="F162" s="24">
        <f>E162/$E$507</f>
        <v>3.9839925225904461E-13</v>
      </c>
      <c r="G162" s="24">
        <f>E162/$E$753</f>
        <v>1.0996876428644979E-13</v>
      </c>
    </row>
    <row r="163" spans="1:7" hidden="1" x14ac:dyDescent="0.2">
      <c r="A163" s="5">
        <v>26785</v>
      </c>
      <c r="B163" s="22">
        <f>IGP!B353</f>
        <v>1.06</v>
      </c>
      <c r="C163" s="17">
        <f>C162*(1+B163/100)</f>
        <v>62.287560728771517</v>
      </c>
      <c r="D163" s="17">
        <f>IF(A163&lt;$D$1,C163,C163*1.2225)</f>
        <v>62.287560728771517</v>
      </c>
      <c r="E163" s="17">
        <f>SQRT(D163*D162)</f>
        <v>61.960038173307801</v>
      </c>
      <c r="F163" s="24">
        <f>E163/$E$507</f>
        <v>4.0339841480588109E-13</v>
      </c>
      <c r="G163" s="24">
        <f>E163/$E$753</f>
        <v>1.1134866579134832E-13</v>
      </c>
    </row>
    <row r="164" spans="1:7" hidden="1" x14ac:dyDescent="0.2">
      <c r="A164" s="5">
        <v>26816</v>
      </c>
      <c r="B164" s="22">
        <f>IGP!B354</f>
        <v>0.93</v>
      </c>
      <c r="C164" s="17">
        <f>C163*(1+B164/100)</f>
        <v>62.866835043549095</v>
      </c>
      <c r="D164" s="17">
        <f>IF(A164&lt;$D$1,C164,C164*1.2225)</f>
        <v>62.866835043549095</v>
      </c>
      <c r="E164" s="17">
        <f>SQRT(D164*D163)</f>
        <v>62.576527593025851</v>
      </c>
      <c r="F164" s="24">
        <f>E164/$E$507</f>
        <v>4.0741214465484032E-13</v>
      </c>
      <c r="G164" s="24">
        <f>E164/$E$753</f>
        <v>1.1245656172530628E-13</v>
      </c>
    </row>
    <row r="165" spans="1:7" hidden="1" x14ac:dyDescent="0.2">
      <c r="A165" s="5">
        <v>26846</v>
      </c>
      <c r="B165" s="22">
        <f>IGP!B355</f>
        <v>1.03</v>
      </c>
      <c r="C165" s="17">
        <f>C164*(1+B165/100)</f>
        <v>63.514363444497647</v>
      </c>
      <c r="D165" s="17">
        <f>IF(A165&lt;$D$1,C165,C165*1.2225)</f>
        <v>63.514363444497647</v>
      </c>
      <c r="E165" s="17">
        <f>SQRT(D165*D164)</f>
        <v>63.189769817283384</v>
      </c>
      <c r="F165" s="24">
        <f>E165/$E$507</f>
        <v>4.1140473324017292E-13</v>
      </c>
      <c r="G165" s="24">
        <f>E165/$E$753</f>
        <v>1.1355862210956555E-13</v>
      </c>
    </row>
    <row r="166" spans="1:7" hidden="1" x14ac:dyDescent="0.2">
      <c r="A166" s="4">
        <v>26877</v>
      </c>
      <c r="B166" s="22">
        <f>IGP!B356</f>
        <v>1.01</v>
      </c>
      <c r="C166" s="17">
        <f>C165*(1+B166/100)</f>
        <v>64.155858515287079</v>
      </c>
      <c r="D166" s="17">
        <f>IF(A166&lt;$D$1,C166,C166*1.2225)</f>
        <v>64.155858515287079</v>
      </c>
      <c r="E166" s="17">
        <f>SQRT(D166*D165)</f>
        <v>63.834305156660967</v>
      </c>
      <c r="F166" s="24">
        <f>E166/$E$507</f>
        <v>4.1560105948296885E-13</v>
      </c>
      <c r="G166" s="24">
        <f>E166/$E$753</f>
        <v>1.1471691949302304E-13</v>
      </c>
    </row>
    <row r="167" spans="1:7" hidden="1" x14ac:dyDescent="0.2">
      <c r="A167" s="5">
        <v>26908</v>
      </c>
      <c r="B167" s="22">
        <f>IGP!B357</f>
        <v>1.03</v>
      </c>
      <c r="C167" s="17">
        <f>C166*(1+B167/100)</f>
        <v>64.816663857994541</v>
      </c>
      <c r="D167" s="17">
        <f>IF(A167&lt;$D$1,C167,C167*1.2225)</f>
        <v>64.816663857994541</v>
      </c>
      <c r="E167" s="17">
        <f>SQRT(D167*D166)</f>
        <v>64.485414753310067</v>
      </c>
      <c r="F167" s="24">
        <f>E167/$E$507</f>
        <v>4.1984018823267151E-13</v>
      </c>
      <c r="G167" s="24">
        <f>E167/$E$753</f>
        <v>1.1588703150405878E-13</v>
      </c>
    </row>
    <row r="168" spans="1:7" hidden="1" x14ac:dyDescent="0.2">
      <c r="A168" s="5">
        <v>26938</v>
      </c>
      <c r="B168" s="22">
        <f>IGP!B358</f>
        <v>1.47</v>
      </c>
      <c r="C168" s="17">
        <f>C167*(1+B168/100)</f>
        <v>65.769468816707061</v>
      </c>
      <c r="D168" s="17">
        <f>IF(A168&lt;$D$1,C168,C168*1.2225)</f>
        <v>65.769468816707061</v>
      </c>
      <c r="E168" s="17">
        <f>SQRT(D168*D167)</f>
        <v>65.291328309442093</v>
      </c>
      <c r="F168" s="24">
        <f>E168/$E$507</f>
        <v>4.2508718711451344E-13</v>
      </c>
      <c r="G168" s="24">
        <f>E168/$E$753</f>
        <v>1.1733534241322024E-13</v>
      </c>
    </row>
    <row r="169" spans="1:7" hidden="1" x14ac:dyDescent="0.2">
      <c r="A169" s="4">
        <v>26969</v>
      </c>
      <c r="B169" s="22">
        <f>IGP!B359</f>
        <v>1.24</v>
      </c>
      <c r="C169" s="17">
        <f>C168*(1+B169/100)</f>
        <v>66.585010230034229</v>
      </c>
      <c r="D169" s="17">
        <f>IF(A169&lt;$D$1,C169,C169*1.2225)</f>
        <v>66.585010230034229</v>
      </c>
      <c r="E169" s="17">
        <f>SQRT(D169*D168)</f>
        <v>66.175983211315838</v>
      </c>
      <c r="F169" s="24">
        <f>E169/$E$507</f>
        <v>4.3084684116875929E-13</v>
      </c>
      <c r="G169" s="24">
        <f>E169/$E$753</f>
        <v>1.1892515975216198E-13</v>
      </c>
    </row>
    <row r="170" spans="1:7" hidden="1" x14ac:dyDescent="0.2">
      <c r="A170" s="5">
        <v>26999</v>
      </c>
      <c r="B170" s="22">
        <f>IGP!B360</f>
        <v>1.06</v>
      </c>
      <c r="C170" s="17">
        <f>C169*(1+B170/100)</f>
        <v>67.290811338472594</v>
      </c>
      <c r="D170" s="17">
        <f>IF(A170&lt;$D$1,C170,C170*1.2225)</f>
        <v>67.290811338472594</v>
      </c>
      <c r="E170" s="17">
        <f>SQRT(D170*D169)</f>
        <v>66.936980521678009</v>
      </c>
      <c r="F170" s="24">
        <f>E170/$E$507</f>
        <v>4.3580140733305011E-13</v>
      </c>
      <c r="G170" s="24">
        <f>E170/$E$753</f>
        <v>1.2029275147220931E-13</v>
      </c>
    </row>
    <row r="171" spans="1:7" hidden="1" x14ac:dyDescent="0.2">
      <c r="A171" s="5">
        <v>27030</v>
      </c>
      <c r="B171" s="22">
        <f>IGP!B361</f>
        <v>2.93</v>
      </c>
      <c r="C171" s="17">
        <f>C170*(1+B171/100)</f>
        <v>69.262432110689844</v>
      </c>
      <c r="D171" s="17">
        <f>IF(A171&lt;$D$1,C171,C171*1.2225)</f>
        <v>69.262432110689844</v>
      </c>
      <c r="E171" s="17">
        <f>SQRT(D171*D170)</f>
        <v>68.269504553674594</v>
      </c>
      <c r="F171" s="24">
        <f>E171/$E$507</f>
        <v>4.4447696819527267E-13</v>
      </c>
      <c r="G171" s="24">
        <f>E171/$E$753</f>
        <v>1.2268743645743657E-13</v>
      </c>
    </row>
    <row r="172" spans="1:7" hidden="1" x14ac:dyDescent="0.2">
      <c r="A172" s="5">
        <v>27061</v>
      </c>
      <c r="B172" s="22">
        <f>IGP!B362</f>
        <v>2.66</v>
      </c>
      <c r="C172" s="17">
        <f>C171*(1+B172/100)</f>
        <v>71.104812804834197</v>
      </c>
      <c r="D172" s="17">
        <f>IF(A172&lt;$D$1,C172,C172*1.2225)</f>
        <v>71.104812804834197</v>
      </c>
      <c r="E172" s="17">
        <f>SQRT(D172*D171)</f>
        <v>70.17757668684591</v>
      </c>
      <c r="F172" s="24">
        <f>E172/$E$507</f>
        <v>4.5689970543929478E-13</v>
      </c>
      <c r="G172" s="24">
        <f>E172/$E$753</f>
        <v>1.2611644154726568E-13</v>
      </c>
    </row>
    <row r="173" spans="1:7" hidden="1" x14ac:dyDescent="0.2">
      <c r="A173" s="4">
        <v>27089</v>
      </c>
      <c r="B173" s="22">
        <f>IGP!B363</f>
        <v>4.51</v>
      </c>
      <c r="C173" s="17">
        <f>C172*(1+B173/100)</f>
        <v>74.311639862332214</v>
      </c>
      <c r="D173" s="17">
        <f>IF(A173&lt;$D$1,C173,C173*1.2225)</f>
        <v>74.311639862332214</v>
      </c>
      <c r="E173" s="17">
        <f>SQRT(D173*D172)</f>
        <v>72.690544375670953</v>
      </c>
      <c r="F173" s="24">
        <f>E173/$E$507</f>
        <v>4.7326068926075303E-13</v>
      </c>
      <c r="G173" s="24">
        <f>E173/$E$753</f>
        <v>1.3063250718532688E-13</v>
      </c>
    </row>
    <row r="174" spans="1:7" hidden="1" x14ac:dyDescent="0.2">
      <c r="A174" s="5">
        <v>27120</v>
      </c>
      <c r="B174" s="22">
        <f>IGP!B364</f>
        <v>5.14</v>
      </c>
      <c r="C174" s="17">
        <f>C173*(1+B174/100)</f>
        <v>78.131258151256077</v>
      </c>
      <c r="D174" s="17">
        <f>IF(A174&lt;$D$1,C174,C174*1.2225)</f>
        <v>78.131258151256077</v>
      </c>
      <c r="E174" s="17">
        <f>SQRT(D174*D173)</f>
        <v>76.197519104804528</v>
      </c>
      <c r="F174" s="24">
        <f>E174/$E$507</f>
        <v>4.960932776226211E-13</v>
      </c>
      <c r="G174" s="24">
        <f>E174/$E$753</f>
        <v>1.3693490738657828E-13</v>
      </c>
    </row>
    <row r="175" spans="1:7" hidden="1" x14ac:dyDescent="0.2">
      <c r="A175" s="5">
        <v>27150</v>
      </c>
      <c r="B175" s="22">
        <f>IGP!B365</f>
        <v>3.51</v>
      </c>
      <c r="C175" s="17">
        <f>C174*(1+B175/100)</f>
        <v>80.873665312365162</v>
      </c>
      <c r="D175" s="17">
        <f>IF(A175&lt;$D$1,C175,C175*1.2225)</f>
        <v>80.873665312365162</v>
      </c>
      <c r="E175" s="17">
        <f>SQRT(D175*D174)</f>
        <v>79.490636065883166</v>
      </c>
      <c r="F175" s="24">
        <f>E175/$E$507</f>
        <v>5.1753351880119687E-13</v>
      </c>
      <c r="G175" s="24">
        <f>E175/$E$753</f>
        <v>1.4285298282231827E-13</v>
      </c>
    </row>
    <row r="176" spans="1:7" hidden="1" x14ac:dyDescent="0.2">
      <c r="A176" s="5">
        <v>27181</v>
      </c>
      <c r="B176" s="22">
        <f>IGP!B366</f>
        <v>1.98</v>
      </c>
      <c r="C176" s="17">
        <f>C175*(1+B176/100)</f>
        <v>82.474963885549997</v>
      </c>
      <c r="D176" s="17">
        <f>IF(A176&lt;$D$1,C176,C176*1.2225)</f>
        <v>82.474963885549997</v>
      </c>
      <c r="E176" s="17">
        <f>SQRT(D176*D175)</f>
        <v>81.670390141895211</v>
      </c>
      <c r="F176" s="24">
        <f>E176/$E$507</f>
        <v>5.3172507459834483E-13</v>
      </c>
      <c r="G176" s="24">
        <f>E176/$E$753</f>
        <v>1.4677022876458683E-13</v>
      </c>
    </row>
    <row r="177" spans="1:7" hidden="1" x14ac:dyDescent="0.2">
      <c r="A177" s="4">
        <v>27211</v>
      </c>
      <c r="B177" s="22">
        <f>IGP!B367</f>
        <v>1.19</v>
      </c>
      <c r="C177" s="17">
        <f>C176*(1+B177/100)</f>
        <v>83.456415955788046</v>
      </c>
      <c r="D177" s="17">
        <f>IF(A177&lt;$D$1,C177,C177*1.2225)</f>
        <v>83.456415955788046</v>
      </c>
      <c r="E177" s="17">
        <f>SQRT(D177*D176)</f>
        <v>82.964238633106604</v>
      </c>
      <c r="F177" s="24">
        <f>E177/$E$507</f>
        <v>5.4014883361691988E-13</v>
      </c>
      <c r="G177" s="24">
        <f>E177/$E$753</f>
        <v>1.4909540975994977E-13</v>
      </c>
    </row>
    <row r="178" spans="1:7" hidden="1" x14ac:dyDescent="0.2">
      <c r="A178" s="5">
        <v>27242</v>
      </c>
      <c r="B178" s="22">
        <f>IGP!B368</f>
        <v>1.29</v>
      </c>
      <c r="C178" s="17">
        <f>C177*(1+B178/100)</f>
        <v>84.533003721617703</v>
      </c>
      <c r="D178" s="17">
        <f>IF(A178&lt;$D$1,C178,C178*1.2225)</f>
        <v>84.533003721617703</v>
      </c>
      <c r="E178" s="17">
        <f>SQRT(D178*D177)</f>
        <v>83.992984948646196</v>
      </c>
      <c r="F178" s="24">
        <f>E178/$E$507</f>
        <v>5.4684661246213761E-13</v>
      </c>
      <c r="G178" s="24">
        <f>E178/$E$753</f>
        <v>1.5094417443231317E-13</v>
      </c>
    </row>
    <row r="179" spans="1:7" hidden="1" x14ac:dyDescent="0.2">
      <c r="A179" s="5">
        <v>27273</v>
      </c>
      <c r="B179" s="22">
        <f>IGP!B369</f>
        <v>1.66</v>
      </c>
      <c r="C179" s="17">
        <f>C178*(1+B179/100)</f>
        <v>85.936251583396555</v>
      </c>
      <c r="D179" s="17">
        <f>IF(A179&lt;$D$1,C179,C179*1.2225)</f>
        <v>85.936251583396555</v>
      </c>
      <c r="E179" s="17">
        <f>SQRT(D179*D178)</f>
        <v>85.231739832770842</v>
      </c>
      <c r="F179" s="24">
        <f>E179/$E$507</f>
        <v>5.5491167780620969E-13</v>
      </c>
      <c r="G179" s="24">
        <f>E179/$E$753</f>
        <v>1.5317034645635199E-13</v>
      </c>
    </row>
    <row r="180" spans="1:7" hidden="1" x14ac:dyDescent="0.2">
      <c r="A180" s="5">
        <v>27303</v>
      </c>
      <c r="B180" s="22">
        <f>IGP!B370</f>
        <v>1.5</v>
      </c>
      <c r="C180" s="17">
        <f>C179*(1+B180/100)</f>
        <v>87.225295357147488</v>
      </c>
      <c r="D180" s="17">
        <f>IF(A180&lt;$D$1,C180,C180*1.2225)</f>
        <v>87.225295357147488</v>
      </c>
      <c r="E180" s="17">
        <f>SQRT(D180*D179)</f>
        <v>86.578374472196572</v>
      </c>
      <c r="F180" s="24">
        <f>E180/$E$507</f>
        <v>5.6367910750577767E-13</v>
      </c>
      <c r="G180" s="24">
        <f>E180/$E$753</f>
        <v>1.5559038967822761E-13</v>
      </c>
    </row>
    <row r="181" spans="1:7" hidden="1" x14ac:dyDescent="0.2">
      <c r="A181" s="4">
        <v>27334</v>
      </c>
      <c r="B181" s="22">
        <f>IGP!B371</f>
        <v>1.57</v>
      </c>
      <c r="C181" s="17">
        <f>C180*(1+B181/100)</f>
        <v>88.594732494254714</v>
      </c>
      <c r="D181" s="17">
        <f>IF(A181&lt;$D$1,C181,C181*1.2225)</f>
        <v>88.594732494254714</v>
      </c>
      <c r="E181" s="17">
        <f>SQRT(D181*D180)</f>
        <v>87.907347297588501</v>
      </c>
      <c r="F181" s="24">
        <f>E181/$E$507</f>
        <v>5.7233154780259716E-13</v>
      </c>
      <c r="G181" s="24">
        <f>E181/$E$753</f>
        <v>1.579786927739494E-13</v>
      </c>
    </row>
    <row r="182" spans="1:7" hidden="1" x14ac:dyDescent="0.2">
      <c r="A182" s="5">
        <v>27364</v>
      </c>
      <c r="B182" s="22">
        <f>IGP!B372</f>
        <v>2.2000000000000002</v>
      </c>
      <c r="C182" s="17">
        <f>C181*(1+B182/100)</f>
        <v>90.543816609128314</v>
      </c>
      <c r="D182" s="17">
        <f>IF(A182&lt;$D$1,C182,C182*1.2225)</f>
        <v>90.543816609128314</v>
      </c>
      <c r="E182" s="17">
        <f>SQRT(D182*D181)</f>
        <v>89.563972731755143</v>
      </c>
      <c r="F182" s="24">
        <f>E182/$E$507</f>
        <v>5.831172105260559E-13</v>
      </c>
      <c r="G182" s="24">
        <f>E182/$E$753</f>
        <v>1.6095582185986938E-13</v>
      </c>
    </row>
    <row r="183" spans="1:7" hidden="1" x14ac:dyDescent="0.2">
      <c r="A183" s="5">
        <v>27395</v>
      </c>
      <c r="B183" s="22">
        <f>IGP!B373</f>
        <v>2.23</v>
      </c>
      <c r="C183" s="17">
        <f>C182*(1+B183/100)</f>
        <v>92.562943719511878</v>
      </c>
      <c r="D183" s="17">
        <f>IF(A183&lt;$D$1,C183,C183*1.2225)</f>
        <v>92.562943719511878</v>
      </c>
      <c r="E183" s="17">
        <f>SQRT(D183*D182)</f>
        <v>91.547813742003413</v>
      </c>
      <c r="F183" s="24">
        <f>E183/$E$507</f>
        <v>5.9603325032129615E-13</v>
      </c>
      <c r="G183" s="24">
        <f>E183/$E$753</f>
        <v>1.6452099154255154E-13</v>
      </c>
    </row>
    <row r="184" spans="1:7" hidden="1" x14ac:dyDescent="0.2">
      <c r="A184" s="4">
        <v>27426</v>
      </c>
      <c r="B184" s="22">
        <f>IGP!B374</f>
        <v>2.27</v>
      </c>
      <c r="C184" s="17">
        <f>C183*(1+B184/100)</f>
        <v>94.664122541944792</v>
      </c>
      <c r="D184" s="17">
        <f>IF(A184&lt;$D$1,C184,C184*1.2225)</f>
        <v>94.664122541944792</v>
      </c>
      <c r="E184" s="17">
        <f>SQRT(D184*D183)</f>
        <v>93.607637760532185</v>
      </c>
      <c r="F184" s="24">
        <f>E184/$E$507</f>
        <v>6.0944398679517311E-13</v>
      </c>
      <c r="G184" s="24">
        <f>E184/$E$753</f>
        <v>1.6822271063424441E-13</v>
      </c>
    </row>
    <row r="185" spans="1:7" hidden="1" x14ac:dyDescent="0.2">
      <c r="A185" s="5">
        <v>27454</v>
      </c>
      <c r="B185" s="22">
        <f>IGP!B375</f>
        <v>1.57</v>
      </c>
      <c r="C185" s="17">
        <f>C184*(1+B185/100)</f>
        <v>96.150349265853336</v>
      </c>
      <c r="D185" s="17">
        <f>IF(A185&lt;$D$1,C185,C185*1.2225)</f>
        <v>96.150349265853336</v>
      </c>
      <c r="E185" s="17">
        <f>SQRT(D185*D184)</f>
        <v>95.404341857975894</v>
      </c>
      <c r="F185" s="24">
        <f>E185/$E$507</f>
        <v>6.2114164880688341E-13</v>
      </c>
      <c r="G185" s="24">
        <f>E185/$E$753</f>
        <v>1.7145157572165151E-13</v>
      </c>
    </row>
    <row r="186" spans="1:7" hidden="1" x14ac:dyDescent="0.2">
      <c r="A186" s="5">
        <v>27485</v>
      </c>
      <c r="B186" s="22">
        <f>IGP!B376</f>
        <v>1.79</v>
      </c>
      <c r="C186" s="17">
        <f>C185*(1+B186/100)</f>
        <v>97.871440517712117</v>
      </c>
      <c r="D186" s="17">
        <f>IF(A186&lt;$D$1,C186,C186*1.2225)</f>
        <v>97.871440517712117</v>
      </c>
      <c r="E186" s="17">
        <f>SQRT(D186*D185)</f>
        <v>97.007078035214576</v>
      </c>
      <c r="F186" s="24">
        <f>E186/$E$507</f>
        <v>6.3157645892500647E-13</v>
      </c>
      <c r="G186" s="24">
        <f>E186/$E$753</f>
        <v>1.743318601793834E-13</v>
      </c>
    </row>
    <row r="187" spans="1:7" hidden="1" x14ac:dyDescent="0.2">
      <c r="A187" s="5">
        <v>27515</v>
      </c>
      <c r="B187" s="22">
        <f>IGP!B377</f>
        <v>2.13</v>
      </c>
      <c r="C187" s="17">
        <f>C186*(1+B187/100)</f>
        <v>99.956102200739394</v>
      </c>
      <c r="D187" s="17">
        <f>IF(A187&lt;$D$1,C187,C187*1.2225)</f>
        <v>99.956102200739394</v>
      </c>
      <c r="E187" s="17">
        <f>SQRT(D187*D186)</f>
        <v>98.908279284001395</v>
      </c>
      <c r="F187" s="24">
        <f>E187/$E$507</f>
        <v>6.4395446243498428E-13</v>
      </c>
      <c r="G187" s="24">
        <f>E187/$E$753</f>
        <v>1.7774851757170336E-13</v>
      </c>
    </row>
    <row r="188" spans="1:7" hidden="1" x14ac:dyDescent="0.2">
      <c r="A188" s="4">
        <v>27546</v>
      </c>
      <c r="B188" s="22">
        <f>IGP!B378</f>
        <v>2.2200000000000002</v>
      </c>
      <c r="C188" s="17">
        <f>C187*(1+B188/100)</f>
        <v>102.17512766959581</v>
      </c>
      <c r="D188" s="17">
        <f>IF(A188&lt;$D$1,C188,C188*1.2225)</f>
        <v>102.17512766959581</v>
      </c>
      <c r="E188" s="17">
        <f>SQRT(D188*D187)</f>
        <v>101.05952455714262</v>
      </c>
      <c r="F188" s="24">
        <f>E188/$E$507</f>
        <v>6.5796040818047394E-13</v>
      </c>
      <c r="G188" s="24">
        <f>E188/$E$753</f>
        <v>1.8161453021495271E-13</v>
      </c>
    </row>
    <row r="189" spans="1:7" hidden="1" x14ac:dyDescent="0.2">
      <c r="A189" s="5">
        <v>27576</v>
      </c>
      <c r="B189" s="22">
        <f>IGP!B379</f>
        <v>2.11</v>
      </c>
      <c r="C189" s="17">
        <f>C188*(1+B189/100)</f>
        <v>104.33102286342427</v>
      </c>
      <c r="D189" s="17">
        <f>IF(A189&lt;$D$1,C189,C189*1.2225)</f>
        <v>104.33102286342427</v>
      </c>
      <c r="E189" s="17">
        <f>SQRT(D189*D188)</f>
        <v>103.2474483024636</v>
      </c>
      <c r="F189" s="24">
        <f>E189/$E$507</f>
        <v>6.7220515360993771E-13</v>
      </c>
      <c r="G189" s="24">
        <f>E189/$E$753</f>
        <v>1.8554645790701233E-13</v>
      </c>
    </row>
    <row r="190" spans="1:7" hidden="1" x14ac:dyDescent="0.2">
      <c r="A190" s="5">
        <v>27607</v>
      </c>
      <c r="B190" s="22">
        <f>IGP!B380</f>
        <v>2.79</v>
      </c>
      <c r="C190" s="17">
        <f>C189*(1+B190/100)</f>
        <v>107.24185840131381</v>
      </c>
      <c r="D190" s="17">
        <f>IF(A190&lt;$D$1,C190,C190*1.2225)</f>
        <v>107.24185840131381</v>
      </c>
      <c r="E190" s="17">
        <f>SQRT(D190*D189)</f>
        <v>105.776428285245</v>
      </c>
      <c r="F190" s="24">
        <f>E190/$E$507</f>
        <v>6.8867038743171605E-13</v>
      </c>
      <c r="G190" s="24">
        <f>E190/$E$753</f>
        <v>1.900912993112103E-13</v>
      </c>
    </row>
    <row r="191" spans="1:7" hidden="1" x14ac:dyDescent="0.2">
      <c r="A191" s="5">
        <v>27638</v>
      </c>
      <c r="B191" s="22">
        <f>IGP!B381</f>
        <v>2.31</v>
      </c>
      <c r="C191" s="17">
        <f>C190*(1+B191/100)</f>
        <v>109.71914533038414</v>
      </c>
      <c r="D191" s="17">
        <f>IF(A191&lt;$D$1,C191,C191*1.2225)</f>
        <v>109.71914533038414</v>
      </c>
      <c r="E191" s="17">
        <f>SQRT(D191*D190)</f>
        <v>108.47343014505546</v>
      </c>
      <c r="F191" s="24">
        <f>E191/$E$507</f>
        <v>7.0622954825619629E-13</v>
      </c>
      <c r="G191" s="24">
        <f>E191/$E$753</f>
        <v>1.9493809359314235E-13</v>
      </c>
    </row>
    <row r="192" spans="1:7" hidden="1" x14ac:dyDescent="0.2">
      <c r="A192" s="4">
        <v>27668</v>
      </c>
      <c r="B192" s="22">
        <f>IGP!B382</f>
        <v>2.25</v>
      </c>
      <c r="C192" s="17">
        <f>C191*(1+B192/100)</f>
        <v>112.18782610031778</v>
      </c>
      <c r="D192" s="17">
        <f>IF(A192&lt;$D$1,C192,C192*1.2225)</f>
        <v>112.18782610031778</v>
      </c>
      <c r="E192" s="17">
        <f>SQRT(D192*D191)</f>
        <v>110.94661957987105</v>
      </c>
      <c r="F192" s="24">
        <f>E192/$E$507</f>
        <v>7.2233155088454627E-13</v>
      </c>
      <c r="G192" s="24">
        <f>E192/$E$753</f>
        <v>1.9938267355039956E-13</v>
      </c>
    </row>
    <row r="193" spans="1:7" hidden="1" x14ac:dyDescent="0.2">
      <c r="A193" s="5">
        <v>27699</v>
      </c>
      <c r="B193" s="22">
        <f>IGP!B383</f>
        <v>2.15</v>
      </c>
      <c r="C193" s="17">
        <f>C192*(1+B193/100)</f>
        <v>114.59986436147462</v>
      </c>
      <c r="D193" s="17">
        <f>IF(A193&lt;$D$1,C193,C193*1.2225)</f>
        <v>114.59986436147462</v>
      </c>
      <c r="E193" s="17">
        <f>SQRT(D193*D192)</f>
        <v>113.38743164083539</v>
      </c>
      <c r="F193" s="24">
        <f>E193/$E$507</f>
        <v>7.3822275665620862E-13</v>
      </c>
      <c r="G193" s="24">
        <f>E193/$E$753</f>
        <v>2.0376906798217206E-13</v>
      </c>
    </row>
    <row r="194" spans="1:7" hidden="1" x14ac:dyDescent="0.2">
      <c r="A194" s="5">
        <v>27729</v>
      </c>
      <c r="B194" s="22">
        <f>IGP!B384</f>
        <v>2.1800000000000002</v>
      </c>
      <c r="C194" s="17">
        <f>C193*(1+B194/100)</f>
        <v>117.09814140455477</v>
      </c>
      <c r="D194" s="17">
        <f>IF(A194&lt;$D$1,C194,C194*1.2225)</f>
        <v>117.09814140455477</v>
      </c>
      <c r="E194" s="17">
        <f>SQRT(D194*D193)</f>
        <v>115.84226828728256</v>
      </c>
      <c r="F194" s="24">
        <f>E194/$E$507</f>
        <v>7.5420527120880262E-13</v>
      </c>
      <c r="G194" s="24">
        <f>E194/$E$753</f>
        <v>2.0818066606016287E-13</v>
      </c>
    </row>
    <row r="195" spans="1:7" hidden="1" x14ac:dyDescent="0.2">
      <c r="A195" s="5">
        <v>27760</v>
      </c>
      <c r="B195" s="22">
        <f>IGP!B385</f>
        <v>3.09</v>
      </c>
      <c r="C195" s="17">
        <f>C194*(1+B195/100)</f>
        <v>120.7164739739555</v>
      </c>
      <c r="D195" s="17">
        <f>IF(A195&lt;$D$1,C195,C195*1.2225)</f>
        <v>120.7164739739555</v>
      </c>
      <c r="E195" s="17">
        <f>SQRT(D195*D194)</f>
        <v>118.8935437240454</v>
      </c>
      <c r="F195" s="24">
        <f>E195/$E$507</f>
        <v>7.7407097353266773E-13</v>
      </c>
      <c r="G195" s="24">
        <f>E195/$E$753</f>
        <v>2.1366412699501782E-13</v>
      </c>
    </row>
    <row r="196" spans="1:7" hidden="1" x14ac:dyDescent="0.2">
      <c r="A196" s="4">
        <v>27791</v>
      </c>
      <c r="B196" s="22">
        <f>IGP!B386</f>
        <v>4.1500000000000004</v>
      </c>
      <c r="C196" s="17">
        <f>C195*(1+B196/100)</f>
        <v>125.72620764387467</v>
      </c>
      <c r="D196" s="17">
        <f>IF(A196&lt;$D$1,C196,C196*1.2225)</f>
        <v>125.72620764387467</v>
      </c>
      <c r="E196" s="17">
        <f>SQRT(D196*D195)</f>
        <v>123.19587847361583</v>
      </c>
      <c r="F196" s="24">
        <f>E196/$E$507</f>
        <v>8.0208185069007796E-13</v>
      </c>
      <c r="G196" s="24">
        <f>E196/$E$753</f>
        <v>2.2139587229853832E-13</v>
      </c>
    </row>
    <row r="197" spans="1:7" hidden="1" x14ac:dyDescent="0.2">
      <c r="A197" s="5">
        <v>27820</v>
      </c>
      <c r="B197" s="22">
        <f>IGP!B387</f>
        <v>3.69</v>
      </c>
      <c r="C197" s="17">
        <f>C196*(1+B197/100)</f>
        <v>130.36550470593363</v>
      </c>
      <c r="D197" s="17">
        <f>IF(A197&lt;$D$1,C197,C197*1.2225)</f>
        <v>130.36550470593363</v>
      </c>
      <c r="E197" s="17">
        <f>SQRT(D197*D196)</f>
        <v>128.02484334790935</v>
      </c>
      <c r="F197" s="24">
        <f>E197/$E$507</f>
        <v>8.3352141775416792E-13</v>
      </c>
      <c r="G197" s="24">
        <f>E197/$E$753</f>
        <v>2.3007402698917742E-13</v>
      </c>
    </row>
    <row r="198" spans="1:7" hidden="1" x14ac:dyDescent="0.2">
      <c r="A198" s="5">
        <v>27851</v>
      </c>
      <c r="B198" s="22">
        <f>IGP!B388</f>
        <v>3.76</v>
      </c>
      <c r="C198" s="17">
        <f>C197*(1+B198/100)</f>
        <v>135.26724768287676</v>
      </c>
      <c r="D198" s="17">
        <f>IF(A198&lt;$D$1,C198,C198*1.2225)</f>
        <v>135.26724768287676</v>
      </c>
      <c r="E198" s="17">
        <f>SQRT(D198*D197)</f>
        <v>132.79376120270393</v>
      </c>
      <c r="F198" s="24">
        <f>E198/$E$507</f>
        <v>8.645700413457582E-13</v>
      </c>
      <c r="G198" s="24">
        <f>E198/$E$753</f>
        <v>2.3864427090856665E-13</v>
      </c>
    </row>
    <row r="199" spans="1:7" hidden="1" x14ac:dyDescent="0.2">
      <c r="A199" s="4">
        <v>27881</v>
      </c>
      <c r="B199" s="22">
        <f>IGP!B389</f>
        <v>3.41</v>
      </c>
      <c r="C199" s="17">
        <f>C198*(1+B199/100)</f>
        <v>139.87986082886286</v>
      </c>
      <c r="D199" s="17">
        <f>IF(A199&lt;$D$1,C199,C199*1.2225)</f>
        <v>139.87986082886286</v>
      </c>
      <c r="E199" s="17">
        <f>SQRT(D199*D198)</f>
        <v>137.55422123869599</v>
      </c>
      <c r="F199" s="24">
        <f>E199/$E$507</f>
        <v>8.9556359927247408E-13</v>
      </c>
      <c r="G199" s="24">
        <f>E199/$E$753</f>
        <v>2.4719931524340216E-13</v>
      </c>
    </row>
    <row r="200" spans="1:7" hidden="1" x14ac:dyDescent="0.2">
      <c r="A200" s="5">
        <v>27912</v>
      </c>
      <c r="B200" s="22">
        <f>IGP!B390</f>
        <v>2.67</v>
      </c>
      <c r="C200" s="17">
        <f>C199*(1+B200/100)</f>
        <v>143.61465311299349</v>
      </c>
      <c r="D200" s="17">
        <f>IF(A200&lt;$D$1,C200,C200*1.2225)</f>
        <v>143.61465311299349</v>
      </c>
      <c r="E200" s="17">
        <f>SQRT(D200*D199)</f>
        <v>141.73495578166646</v>
      </c>
      <c r="F200" s="24">
        <f>E200/$E$507</f>
        <v>9.2278278339629885E-13</v>
      </c>
      <c r="G200" s="24">
        <f>E200/$E$753</f>
        <v>2.5471253226378979E-13</v>
      </c>
    </row>
    <row r="201" spans="1:7" hidden="1" x14ac:dyDescent="0.2">
      <c r="A201" s="5">
        <v>27942</v>
      </c>
      <c r="B201" s="22">
        <f>IGP!B391</f>
        <v>3.81</v>
      </c>
      <c r="C201" s="17">
        <f>C200*(1+B201/100)</f>
        <v>149.08637139659854</v>
      </c>
      <c r="D201" s="17">
        <f>IF(A201&lt;$D$1,C201,C201*1.2225)</f>
        <v>149.08637139659854</v>
      </c>
      <c r="E201" s="17">
        <f>SQRT(D201*D200)</f>
        <v>146.32493810693177</v>
      </c>
      <c r="F201" s="24">
        <f>E201/$E$507</f>
        <v>9.5266642531433588E-13</v>
      </c>
      <c r="G201" s="24">
        <f>E201/$E$753</f>
        <v>2.6296121033100795E-13</v>
      </c>
    </row>
    <row r="202" spans="1:7" hidden="1" x14ac:dyDescent="0.2">
      <c r="A202" s="5">
        <v>27973</v>
      </c>
      <c r="B202" s="22">
        <f>IGP!B392</f>
        <v>4.0999999999999996</v>
      </c>
      <c r="C202" s="17">
        <f>C201*(1+B202/100)</f>
        <v>155.19891262385906</v>
      </c>
      <c r="D202" s="17">
        <f>IF(A202&lt;$D$1,C202,C202*1.2225)</f>
        <v>155.19891262385906</v>
      </c>
      <c r="E202" s="17">
        <f>SQRT(D202*D201)</f>
        <v>152.11194143718268</v>
      </c>
      <c r="F202" s="24">
        <f>E202/$E$507</f>
        <v>9.9034341904648725E-13</v>
      </c>
      <c r="G202" s="24">
        <f>E202/$E$753</f>
        <v>2.733610602786654E-13</v>
      </c>
    </row>
    <row r="203" spans="1:7" hidden="1" x14ac:dyDescent="0.2">
      <c r="A203" s="4">
        <v>28004</v>
      </c>
      <c r="B203" s="22">
        <f>IGP!B393</f>
        <v>3.43</v>
      </c>
      <c r="C203" s="17">
        <f>C202*(1+B203/100)</f>
        <v>160.52223532685741</v>
      </c>
      <c r="D203" s="17">
        <f>IF(A203&lt;$D$1,C203,C203*1.2225)</f>
        <v>160.52223532685741</v>
      </c>
      <c r="E203" s="17">
        <f>SQRT(D203*D202)</f>
        <v>157.83813346171922</v>
      </c>
      <c r="F203" s="24">
        <f>E203/$E$507</f>
        <v>1.0276244933271554E-12</v>
      </c>
      <c r="G203" s="24">
        <f>E203/$E$753</f>
        <v>2.8365162595284667E-13</v>
      </c>
    </row>
    <row r="204" spans="1:7" hidden="1" x14ac:dyDescent="0.2">
      <c r="A204" s="5">
        <v>28034</v>
      </c>
      <c r="B204" s="22">
        <f>IGP!B394</f>
        <v>2.36</v>
      </c>
      <c r="C204" s="17">
        <f>C203*(1+B204/100)</f>
        <v>164.31056008057126</v>
      </c>
      <c r="D204" s="17">
        <f>IF(A204&lt;$D$1,C204,C204*1.2225)</f>
        <v>164.31056008057126</v>
      </c>
      <c r="E204" s="17">
        <f>SQRT(D204*D203)</f>
        <v>162.40535210374443</v>
      </c>
      <c r="F204" s="24">
        <f>E204/$E$507</f>
        <v>1.0573599294983122E-12</v>
      </c>
      <c r="G204" s="24">
        <f>E204/$E$753</f>
        <v>2.9185939530160679E-13</v>
      </c>
    </row>
    <row r="205" spans="1:7" hidden="1" x14ac:dyDescent="0.2">
      <c r="A205" s="5">
        <v>28065</v>
      </c>
      <c r="B205" s="22">
        <f>IGP!B395</f>
        <v>1.9</v>
      </c>
      <c r="C205" s="17">
        <f>C204*(1+B205/100)</f>
        <v>167.43246072210209</v>
      </c>
      <c r="D205" s="17">
        <f>IF(A205&lt;$D$1,C205,C205*1.2225)</f>
        <v>167.43246072210209</v>
      </c>
      <c r="E205" s="17">
        <f>SQRT(D205*D204)</f>
        <v>165.864165499715</v>
      </c>
      <c r="F205" s="24">
        <f>E205/$E$507</f>
        <v>1.0798789576038332E-12</v>
      </c>
      <c r="G205" s="24">
        <f>E205/$E$753</f>
        <v>2.9807524455246279E-13</v>
      </c>
    </row>
    <row r="206" spans="1:7" hidden="1" x14ac:dyDescent="0.2">
      <c r="A206" s="5">
        <v>28095</v>
      </c>
      <c r="B206" s="22">
        <f>IGP!B396</f>
        <v>2.2999999999999998</v>
      </c>
      <c r="C206" s="17">
        <f>C205*(1+B206/100)</f>
        <v>171.28340731871043</v>
      </c>
      <c r="D206" s="17">
        <f>IF(A206&lt;$D$1,C206,C206*1.2225)</f>
        <v>171.28340731871043</v>
      </c>
      <c r="E206" s="17">
        <f>SQRT(D206*D205)</f>
        <v>169.346988069578</v>
      </c>
      <c r="F206" s="24">
        <f>E206/$E$507</f>
        <v>1.1025543003756222E-12</v>
      </c>
      <c r="G206" s="24">
        <f>E206/$E$753</f>
        <v>3.0433424079868052E-13</v>
      </c>
    </row>
    <row r="207" spans="1:7" hidden="1" x14ac:dyDescent="0.2">
      <c r="A207" s="4">
        <v>28126</v>
      </c>
      <c r="B207" s="22">
        <f>IGP!B397</f>
        <v>3.74</v>
      </c>
      <c r="C207" s="17">
        <f>C206*(1+B207/100)</f>
        <v>177.68940675243022</v>
      </c>
      <c r="D207" s="17">
        <f>IF(A207&lt;$D$1,C207,C207*1.2225)</f>
        <v>177.68940675243022</v>
      </c>
      <c r="E207" s="17">
        <f>SQRT(D207*D206)</f>
        <v>174.457006259412</v>
      </c>
      <c r="F207" s="24">
        <f>E207/$E$507</f>
        <v>1.1358236994622141E-12</v>
      </c>
      <c r="G207" s="24">
        <f>E207/$E$753</f>
        <v>3.1351747767816739E-13</v>
      </c>
    </row>
    <row r="208" spans="1:7" hidden="1" x14ac:dyDescent="0.2">
      <c r="A208" s="5">
        <v>28157</v>
      </c>
      <c r="B208" s="22">
        <f>IGP!B398</f>
        <v>3.17</v>
      </c>
      <c r="C208" s="17">
        <f>C207*(1+B208/100)</f>
        <v>183.32216094648226</v>
      </c>
      <c r="D208" s="17">
        <f>IF(A208&lt;$D$1,C208,C208*1.2225)</f>
        <v>183.32216094648226</v>
      </c>
      <c r="E208" s="17">
        <f>SQRT(D208*D207)</f>
        <v>180.48381097249128</v>
      </c>
      <c r="F208" s="24">
        <f>E208/$E$507</f>
        <v>1.1750619494581308E-12</v>
      </c>
      <c r="G208" s="24">
        <f>E208/$E$753</f>
        <v>3.2434827577918418E-13</v>
      </c>
    </row>
    <row r="209" spans="1:7" hidden="1" x14ac:dyDescent="0.2">
      <c r="A209" s="5">
        <v>28185</v>
      </c>
      <c r="B209" s="22">
        <f>IGP!B399</f>
        <v>4.1500000000000004</v>
      </c>
      <c r="C209" s="17">
        <f>C208*(1+B209/100)</f>
        <v>190.93003062576128</v>
      </c>
      <c r="D209" s="17">
        <f>IF(A209&lt;$D$1,C209,C209*1.2225)</f>
        <v>190.93003062576128</v>
      </c>
      <c r="E209" s="17">
        <f>SQRT(D209*D208)</f>
        <v>187.08742823581866</v>
      </c>
      <c r="F209" s="24">
        <f>E209/$E$507</f>
        <v>1.2180556081863564E-12</v>
      </c>
      <c r="G209" s="24">
        <f>E209/$E$753</f>
        <v>3.3621566633197091E-13</v>
      </c>
    </row>
    <row r="210" spans="1:7" hidden="1" x14ac:dyDescent="0.2">
      <c r="A210" s="5">
        <v>28216</v>
      </c>
      <c r="B210" s="22">
        <f>IGP!B400</f>
        <v>4.08</v>
      </c>
      <c r="C210" s="17">
        <f>C209*(1+B210/100)</f>
        <v>198.71997587529233</v>
      </c>
      <c r="D210" s="17">
        <f>IF(A210&lt;$D$1,C210,C210*1.2225)</f>
        <v>198.71997587529233</v>
      </c>
      <c r="E210" s="17">
        <f>SQRT(D210*D209)</f>
        <v>194.78606490152242</v>
      </c>
      <c r="F210" s="24">
        <f>E210/$E$507</f>
        <v>1.2681785248060111E-12</v>
      </c>
      <c r="G210" s="24">
        <f>E210/$E$753</f>
        <v>3.5005092122223922E-13</v>
      </c>
    </row>
    <row r="211" spans="1:7" hidden="1" x14ac:dyDescent="0.2">
      <c r="A211" s="4">
        <v>28246</v>
      </c>
      <c r="B211" s="22">
        <f>IGP!B401</f>
        <v>3.58</v>
      </c>
      <c r="C211" s="17">
        <f>C210*(1+B211/100)</f>
        <v>205.83415101162782</v>
      </c>
      <c r="D211" s="17">
        <f>IF(A211&lt;$D$1,C211,C211*1.2225)</f>
        <v>205.83415101162782</v>
      </c>
      <c r="E211" s="17">
        <f>SQRT(D211*D210)</f>
        <v>202.24578493343677</v>
      </c>
      <c r="F211" s="24">
        <f>E211/$E$507</f>
        <v>1.3167459454288455E-12</v>
      </c>
      <c r="G211" s="24">
        <f>E211/$E$753</f>
        <v>3.6345681794566135E-13</v>
      </c>
    </row>
    <row r="212" spans="1:7" hidden="1" x14ac:dyDescent="0.2">
      <c r="A212" s="5">
        <v>28277</v>
      </c>
      <c r="B212" s="22">
        <f>IGP!B402</f>
        <v>1.96</v>
      </c>
      <c r="C212" s="17">
        <f>C211*(1+B212/100)</f>
        <v>209.86850037145575</v>
      </c>
      <c r="D212" s="17">
        <f>IF(A212&lt;$D$1,C212,C212*1.2225)</f>
        <v>209.86850037145575</v>
      </c>
      <c r="E212" s="17">
        <f>SQRT(D212*D211)</f>
        <v>207.84153722978979</v>
      </c>
      <c r="F212" s="24">
        <f>E212/$E$507</f>
        <v>1.3531777758883629E-12</v>
      </c>
      <c r="G212" s="24">
        <f>E212/$E$753</f>
        <v>3.7351296979235606E-13</v>
      </c>
    </row>
    <row r="213" spans="1:7" hidden="1" x14ac:dyDescent="0.2">
      <c r="A213" s="5">
        <v>28307</v>
      </c>
      <c r="B213" s="22">
        <f>IGP!B403</f>
        <v>2.0699999999999998</v>
      </c>
      <c r="C213" s="17">
        <f>C212*(1+B213/100)</f>
        <v>214.21277832914487</v>
      </c>
      <c r="D213" s="17">
        <f>IF(A213&lt;$D$1,C213,C213*1.2225)</f>
        <v>214.21277832914487</v>
      </c>
      <c r="E213" s="17">
        <f>SQRT(D213*D212)</f>
        <v>212.02951338985974</v>
      </c>
      <c r="F213" s="24">
        <f>E213/$E$507</f>
        <v>1.380444107446965E-12</v>
      </c>
      <c r="G213" s="24">
        <f>E213/$E$753</f>
        <v>3.810392007556974E-13</v>
      </c>
    </row>
    <row r="214" spans="1:7" hidden="1" x14ac:dyDescent="0.2">
      <c r="A214" s="4">
        <v>28338</v>
      </c>
      <c r="B214" s="22">
        <f>IGP!B404</f>
        <v>1.3</v>
      </c>
      <c r="C214" s="17">
        <f>C213*(1+B214/100)</f>
        <v>216.99754444742373</v>
      </c>
      <c r="D214" s="17">
        <f>IF(A214&lt;$D$1,C214,C214*1.2225)</f>
        <v>216.99754444742373</v>
      </c>
      <c r="E214" s="17">
        <f>SQRT(D214*D213)</f>
        <v>215.60066532059855</v>
      </c>
      <c r="F214" s="24">
        <f>E214/$E$507</f>
        <v>1.4036945293376279E-12</v>
      </c>
      <c r="G214" s="24">
        <f>E214/$E$753</f>
        <v>3.8745693409720569E-13</v>
      </c>
    </row>
    <row r="215" spans="1:7" hidden="1" x14ac:dyDescent="0.2">
      <c r="A215" s="5">
        <v>28369</v>
      </c>
      <c r="B215" s="22">
        <f>IGP!B405</f>
        <v>1.77</v>
      </c>
      <c r="C215" s="17">
        <f>C214*(1+B215/100)</f>
        <v>220.83840098414314</v>
      </c>
      <c r="D215" s="17">
        <f>IF(A215&lt;$D$1,C215,C215*1.2225)</f>
        <v>220.83840098414314</v>
      </c>
      <c r="E215" s="17">
        <f>SQRT(D215*D214)</f>
        <v>218.90954920527014</v>
      </c>
      <c r="F215" s="24">
        <f>E215/$E$507</f>
        <v>1.4252374230027302E-12</v>
      </c>
      <c r="G215" s="24">
        <f>E215/$E$753</f>
        <v>3.9340334434288885E-13</v>
      </c>
    </row>
    <row r="216" spans="1:7" hidden="1" x14ac:dyDescent="0.2">
      <c r="A216" s="5">
        <v>28399</v>
      </c>
      <c r="B216" s="22">
        <f>IGP!B406</f>
        <v>2.74</v>
      </c>
      <c r="C216" s="17">
        <f>C215*(1+B216/100)</f>
        <v>226.88937317110867</v>
      </c>
      <c r="D216" s="17">
        <f>IF(A216&lt;$D$1,C216,C216*1.2225)</f>
        <v>226.88937317110867</v>
      </c>
      <c r="E216" s="17">
        <f>SQRT(D216*D215)</f>
        <v>223.8434416537643</v>
      </c>
      <c r="F216" s="24">
        <f>E216/$E$507</f>
        <v>1.457360133885802E-12</v>
      </c>
      <c r="G216" s="24">
        <f>E216/$E$753</f>
        <v>4.0227006485331142E-13</v>
      </c>
    </row>
    <row r="217" spans="1:7" hidden="1" x14ac:dyDescent="0.2">
      <c r="A217" s="5">
        <v>28430</v>
      </c>
      <c r="B217" s="22">
        <f>IGP!B407</f>
        <v>2.61</v>
      </c>
      <c r="C217" s="17">
        <f>C216*(1+B217/100)</f>
        <v>232.8111858108746</v>
      </c>
      <c r="D217" s="17">
        <f>IF(A217&lt;$D$1,C217,C217*1.2225)</f>
        <v>232.8111858108746</v>
      </c>
      <c r="E217" s="17">
        <f>SQRT(D217*D216)</f>
        <v>229.83120766304094</v>
      </c>
      <c r="F217" s="24">
        <f>E217/$E$507</f>
        <v>1.496344217620781E-12</v>
      </c>
      <c r="G217" s="24">
        <f>E217/$E$753</f>
        <v>4.1303070632255704E-13</v>
      </c>
    </row>
    <row r="218" spans="1:7" hidden="1" x14ac:dyDescent="0.2">
      <c r="A218" s="4">
        <v>28460</v>
      </c>
      <c r="B218" s="22">
        <f>IGP!B408</f>
        <v>2.11</v>
      </c>
      <c r="C218" s="17">
        <f>C217*(1+B218/100)</f>
        <v>237.72350183148404</v>
      </c>
      <c r="D218" s="17">
        <f>IF(A218&lt;$D$1,C218,C218*1.2225)</f>
        <v>237.72350183148404</v>
      </c>
      <c r="E218" s="17">
        <f>SQRT(D218*D217)</f>
        <v>235.25452249957155</v>
      </c>
      <c r="F218" s="24">
        <f>E218/$E$507</f>
        <v>1.5316533728851841E-12</v>
      </c>
      <c r="G218" s="24">
        <f>E218/$E$753</f>
        <v>4.227769700276407E-13</v>
      </c>
    </row>
    <row r="219" spans="1:7" hidden="1" x14ac:dyDescent="0.2">
      <c r="A219" s="5">
        <v>28491</v>
      </c>
      <c r="B219" s="22">
        <f>IGP!B409</f>
        <v>2.66</v>
      </c>
      <c r="C219" s="17">
        <f>C218*(1+B219/100)</f>
        <v>244.04694698020151</v>
      </c>
      <c r="D219" s="17">
        <f>IF(A219&lt;$D$1,C219,C219*1.2225)</f>
        <v>244.04694698020151</v>
      </c>
      <c r="E219" s="17">
        <f>SQRT(D219*D218)</f>
        <v>240.86447402515802</v>
      </c>
      <c r="F219" s="24">
        <f>E219/$E$507</f>
        <v>1.5681776491651546E-12</v>
      </c>
      <c r="G219" s="24">
        <f>E219/$E$753</f>
        <v>4.3285863937363048E-13</v>
      </c>
    </row>
    <row r="220" spans="1:7" hidden="1" x14ac:dyDescent="0.2">
      <c r="A220" s="5">
        <v>28522</v>
      </c>
      <c r="B220" s="22">
        <f>IGP!B410</f>
        <v>3.4</v>
      </c>
      <c r="C220" s="17">
        <f>C219*(1+B220/100)</f>
        <v>252.34454317752838</v>
      </c>
      <c r="D220" s="17">
        <f>IF(A220&lt;$D$1,C220,C220*1.2225)</f>
        <v>252.34454317752838</v>
      </c>
      <c r="E220" s="17">
        <f>SQRT(D220*D219)</f>
        <v>248.16106735261565</v>
      </c>
      <c r="F220" s="24">
        <f>E220/$E$507</f>
        <v>1.6156830134056757E-12</v>
      </c>
      <c r="G220" s="24">
        <f>E220/$E$753</f>
        <v>4.459713803561638E-13</v>
      </c>
    </row>
    <row r="221" spans="1:7" hidden="1" x14ac:dyDescent="0.2">
      <c r="A221" s="5">
        <v>28550</v>
      </c>
      <c r="B221" s="22">
        <f>IGP!B411</f>
        <v>3.29</v>
      </c>
      <c r="C221" s="17">
        <f>C220*(1+B221/100)</f>
        <v>260.64667864806904</v>
      </c>
      <c r="D221" s="17">
        <f>IF(A221&lt;$D$1,C221,C221*1.2225)</f>
        <v>260.64667864806904</v>
      </c>
      <c r="E221" s="17">
        <f>SQRT(D221*D220)</f>
        <v>256.46201873608305</v>
      </c>
      <c r="F221" s="24">
        <f>E221/$E$507</f>
        <v>1.6697273737416898E-12</v>
      </c>
      <c r="G221" s="24">
        <f>E221/$E$753</f>
        <v>4.6088905775917944E-13</v>
      </c>
    </row>
    <row r="222" spans="1:7" hidden="1" x14ac:dyDescent="0.2">
      <c r="A222" s="4">
        <v>28581</v>
      </c>
      <c r="B222" s="22">
        <f>IGP!B412</f>
        <v>3.36</v>
      </c>
      <c r="C222" s="17">
        <f>C221*(1+B222/100)</f>
        <v>269.40440705064418</v>
      </c>
      <c r="D222" s="17">
        <f>IF(A222&lt;$D$1,C222,C222*1.2225)</f>
        <v>269.40440705064418</v>
      </c>
      <c r="E222" s="17">
        <f>SQRT(D222*D221)</f>
        <v>264.98936565625201</v>
      </c>
      <c r="F222" s="24">
        <f>E222/$E$507</f>
        <v>1.7252457099388722E-12</v>
      </c>
      <c r="G222" s="24">
        <f>E222/$E$753</f>
        <v>4.7621359160864084E-13</v>
      </c>
    </row>
    <row r="223" spans="1:7" hidden="1" x14ac:dyDescent="0.2">
      <c r="A223" s="5">
        <v>28611</v>
      </c>
      <c r="B223" s="22">
        <f>IGP!B413</f>
        <v>3.21</v>
      </c>
      <c r="C223" s="17">
        <f>C222*(1+B223/100)</f>
        <v>278.05228851696984</v>
      </c>
      <c r="D223" s="17">
        <f>IF(A223&lt;$D$1,C223,C223*1.2225)</f>
        <v>278.05228851696984</v>
      </c>
      <c r="E223" s="17">
        <f>SQRT(D223*D222)</f>
        <v>273.6941941601774</v>
      </c>
      <c r="F223" s="24">
        <f>E223/$E$507</f>
        <v>1.7819195617176355E-12</v>
      </c>
      <c r="G223" s="24">
        <f>E223/$E$753</f>
        <v>4.9185707841772663E-13</v>
      </c>
    </row>
    <row r="224" spans="1:7" hidden="1" x14ac:dyDescent="0.2">
      <c r="A224" s="5">
        <v>28642</v>
      </c>
      <c r="B224" s="22">
        <f>IGP!B414</f>
        <v>3.63</v>
      </c>
      <c r="C224" s="17">
        <f>C223*(1+B224/100)</f>
        <v>288.14558659013585</v>
      </c>
      <c r="D224" s="17">
        <f>IF(A224&lt;$D$1,C224,C224*1.2225)</f>
        <v>288.14558659013585</v>
      </c>
      <c r="E224" s="17">
        <f>SQRT(D224*D223)</f>
        <v>283.05395206117856</v>
      </c>
      <c r="F224" s="24">
        <f>E224/$E$507</f>
        <v>1.8428574115244687E-12</v>
      </c>
      <c r="G224" s="24">
        <f>E224/$E$753</f>
        <v>5.0867754181853014E-13</v>
      </c>
    </row>
    <row r="225" spans="1:7" hidden="1" x14ac:dyDescent="0.2">
      <c r="A225" s="5">
        <v>28672</v>
      </c>
      <c r="B225" s="22">
        <f>IGP!B415</f>
        <v>2.82</v>
      </c>
      <c r="C225" s="17">
        <f>C224*(1+B225/100)</f>
        <v>296.2712921319777</v>
      </c>
      <c r="D225" s="17">
        <f>IF(A225&lt;$D$1,C225,C225*1.2225)</f>
        <v>296.2712921319777</v>
      </c>
      <c r="E225" s="17">
        <f>SQRT(D225*D224)</f>
        <v>292.18019313633533</v>
      </c>
      <c r="F225" s="24">
        <f>E225/$E$507</f>
        <v>1.9022749214452508E-12</v>
      </c>
      <c r="G225" s="24">
        <f>E225/$E$753</f>
        <v>5.2507835107185106E-13</v>
      </c>
    </row>
    <row r="226" spans="1:7" hidden="1" x14ac:dyDescent="0.2">
      <c r="A226" s="4">
        <v>28703</v>
      </c>
      <c r="B226" s="22">
        <f>IGP!B416</f>
        <v>2.67</v>
      </c>
      <c r="C226" s="17">
        <f>C225*(1+B226/100)</f>
        <v>304.18173563190152</v>
      </c>
      <c r="D226" s="17">
        <f>IF(A226&lt;$D$1,C226,C226*1.2225)</f>
        <v>304.18173563190152</v>
      </c>
      <c r="E226" s="17">
        <f>SQRT(D226*D225)</f>
        <v>300.20045945769488</v>
      </c>
      <c r="F226" s="24">
        <f>E226/$E$507</f>
        <v>1.9544918473178244E-12</v>
      </c>
      <c r="G226" s="24">
        <f>E226/$E$753</f>
        <v>5.3949160807593393E-13</v>
      </c>
    </row>
    <row r="227" spans="1:7" hidden="1" x14ac:dyDescent="0.2">
      <c r="A227" s="5">
        <v>28734</v>
      </c>
      <c r="B227" s="22">
        <f>IGP!B417</f>
        <v>2.5499999999999998</v>
      </c>
      <c r="C227" s="17">
        <f>C226*(1+B227/100)</f>
        <v>311.93836989051505</v>
      </c>
      <c r="D227" s="17">
        <f>IF(A227&lt;$D$1,C227,C227*1.2225)</f>
        <v>311.93836989051505</v>
      </c>
      <c r="E227" s="17">
        <f>SQRT(D227*D226)</f>
        <v>308.03563878792164</v>
      </c>
      <c r="F227" s="24">
        <f>E227/$E$507</f>
        <v>2.0055037416729008E-12</v>
      </c>
      <c r="G227" s="24">
        <f>E227/$E$753</f>
        <v>5.5357224440828119E-13</v>
      </c>
    </row>
    <row r="228" spans="1:7" hidden="1" x14ac:dyDescent="0.2">
      <c r="A228" s="5">
        <v>28764</v>
      </c>
      <c r="B228" s="22">
        <f>IGP!B418</f>
        <v>2.87</v>
      </c>
      <c r="C228" s="17">
        <f>C227*(1+B228/100)</f>
        <v>320.89100110637281</v>
      </c>
      <c r="D228" s="17">
        <f>IF(A228&lt;$D$1,C228,C228*1.2225)</f>
        <v>320.89100110637281</v>
      </c>
      <c r="E228" s="17">
        <f>SQRT(D228*D227)</f>
        <v>316.38302071643699</v>
      </c>
      <c r="F228" s="24">
        <f>E228/$E$507</f>
        <v>2.0598503937573242E-12</v>
      </c>
      <c r="G228" s="24">
        <f>E228/$E$753</f>
        <v>5.6857336235451597E-13</v>
      </c>
    </row>
    <row r="229" spans="1:7" hidden="1" x14ac:dyDescent="0.2">
      <c r="A229" s="4">
        <v>28795</v>
      </c>
      <c r="B229" s="22">
        <f>IGP!B419</f>
        <v>2.75</v>
      </c>
      <c r="C229" s="17">
        <f>C228*(1+B229/100)</f>
        <v>329.71550363679808</v>
      </c>
      <c r="D229" s="17">
        <f>IF(A229&lt;$D$1,C229,C229*1.2225)</f>
        <v>329.71550363679808</v>
      </c>
      <c r="E229" s="17">
        <f>SQRT(D229*D228)</f>
        <v>325.27332820614731</v>
      </c>
      <c r="F229" s="24">
        <f>E229/$E$507</f>
        <v>2.1177318291827623E-12</v>
      </c>
      <c r="G229" s="24">
        <f>E229/$E$753</f>
        <v>5.8455017429070562E-13</v>
      </c>
    </row>
    <row r="230" spans="1:7" hidden="1" x14ac:dyDescent="0.2">
      <c r="A230" s="5">
        <v>28825</v>
      </c>
      <c r="B230" s="22">
        <f>IGP!B420</f>
        <v>1.52</v>
      </c>
      <c r="C230" s="17">
        <f>C229*(1+B230/100)</f>
        <v>334.72717929207744</v>
      </c>
      <c r="D230" s="17">
        <f>IF(A230&lt;$D$1,C230,C230*1.2225)</f>
        <v>334.72717929207744</v>
      </c>
      <c r="E230" s="17">
        <f>SQRT(D230*D229)</f>
        <v>332.21189096902015</v>
      </c>
      <c r="F230" s="24">
        <f>E230/$E$507</f>
        <v>2.1629061915959188E-12</v>
      </c>
      <c r="G230" s="24">
        <f>E230/$E$753</f>
        <v>5.9701949692079172E-13</v>
      </c>
    </row>
    <row r="231" spans="1:7" hidden="1" x14ac:dyDescent="0.2">
      <c r="A231" s="5">
        <v>28856</v>
      </c>
      <c r="B231" s="22">
        <f>IGP!B421</f>
        <v>3.68</v>
      </c>
      <c r="C231" s="17">
        <f>C230*(1+B231/100)</f>
        <v>347.04513949002586</v>
      </c>
      <c r="D231" s="17">
        <f>IF(A231&lt;$D$1,C231,C231*1.2225)</f>
        <v>347.04513949002586</v>
      </c>
      <c r="E231" s="17">
        <f>SQRT(D231*D230)</f>
        <v>340.83051598781748</v>
      </c>
      <c r="F231" s="24">
        <f>E231/$E$507</f>
        <v>2.219018805030152E-12</v>
      </c>
      <c r="G231" s="24">
        <f>E231/$E$753</f>
        <v>6.1250806705554089E-13</v>
      </c>
    </row>
    <row r="232" spans="1:7" hidden="1" x14ac:dyDescent="0.2">
      <c r="A232" s="5">
        <v>28887</v>
      </c>
      <c r="B232" s="22">
        <f>IGP!B422</f>
        <v>3.75</v>
      </c>
      <c r="C232" s="17">
        <f>C231*(1+B232/100)</f>
        <v>360.05933222090187</v>
      </c>
      <c r="D232" s="17">
        <f>IF(A232&lt;$D$1,C232,C232*1.2225)</f>
        <v>360.05933222090187</v>
      </c>
      <c r="E232" s="17">
        <f>SQRT(D232*D231)</f>
        <v>353.49234952865453</v>
      </c>
      <c r="F232" s="24">
        <f>E232/$E$507</f>
        <v>2.301455222590495E-12</v>
      </c>
      <c r="G232" s="24">
        <f>E232/$E$753</f>
        <v>6.3526270557433582E-13</v>
      </c>
    </row>
    <row r="233" spans="1:7" hidden="1" x14ac:dyDescent="0.2">
      <c r="A233" s="4">
        <v>28915</v>
      </c>
      <c r="B233" s="22">
        <f>IGP!B423</f>
        <v>5.77</v>
      </c>
      <c r="C233" s="17">
        <f>C232*(1+B233/100)</f>
        <v>380.83475569004793</v>
      </c>
      <c r="D233" s="17">
        <f>IF(A233&lt;$D$1,C233,C233*1.2225)</f>
        <v>380.83475569004793</v>
      </c>
      <c r="E233" s="17">
        <f>SQRT(D233*D232)</f>
        <v>370.30137431593329</v>
      </c>
      <c r="F233" s="24">
        <f>E233/$E$507</f>
        <v>2.41089243653563E-12</v>
      </c>
      <c r="G233" s="24">
        <f>E233/$E$753</f>
        <v>6.6547028030309858E-13</v>
      </c>
    </row>
    <row r="234" spans="1:7" hidden="1" x14ac:dyDescent="0.2">
      <c r="A234" s="5">
        <v>28946</v>
      </c>
      <c r="B234" s="26">
        <f>INPC!B2</f>
        <v>3.45</v>
      </c>
      <c r="C234" s="17">
        <f>C233*(1+B234/100)</f>
        <v>393.97355476135459</v>
      </c>
      <c r="D234" s="17">
        <f>IF(A234&lt;$D$1,C234,C234*1.2225)</f>
        <v>393.97355476135459</v>
      </c>
      <c r="E234" s="17">
        <f>SQRT(D234*D233)</f>
        <v>387.34845097906378</v>
      </c>
      <c r="F234" s="24">
        <f>E234/$E$507</f>
        <v>2.5218795163651527E-12</v>
      </c>
      <c r="G234" s="24">
        <f>E234/$E$753</f>
        <v>6.9610565913829333E-13</v>
      </c>
    </row>
    <row r="235" spans="1:7" hidden="1" x14ac:dyDescent="0.2">
      <c r="A235" s="5">
        <v>28976</v>
      </c>
      <c r="B235" s="26">
        <f>INPC!B3</f>
        <v>1.76</v>
      </c>
      <c r="C235" s="17">
        <f>C234*(1+B235/100)</f>
        <v>400.90748932515447</v>
      </c>
      <c r="D235" s="17">
        <f>IF(A235&lt;$D$1,C235,C235*1.2225)</f>
        <v>400.90748932515447</v>
      </c>
      <c r="E235" s="17">
        <f>SQRT(D235*D234)</f>
        <v>397.42540016949209</v>
      </c>
      <c r="F235" s="24">
        <f>E235/$E$507</f>
        <v>2.5874867278734466E-12</v>
      </c>
      <c r="G235" s="24">
        <f>E235/$E$753</f>
        <v>7.1421499026011914E-13</v>
      </c>
    </row>
    <row r="236" spans="1:7" hidden="1" x14ac:dyDescent="0.2">
      <c r="A236" s="5">
        <v>29007</v>
      </c>
      <c r="B236" s="26">
        <f>INPC!B4</f>
        <v>3</v>
      </c>
      <c r="C236" s="17">
        <f>C235*(1+B236/100)</f>
        <v>412.9347140049091</v>
      </c>
      <c r="D236" s="17">
        <f>IF(A236&lt;$D$1,C236,C236*1.2225)</f>
        <v>412.9347140049091</v>
      </c>
      <c r="E236" s="17">
        <f>SQRT(D236*D235)</f>
        <v>406.87666367943592</v>
      </c>
      <c r="F236" s="24">
        <f>E236/$E$507</f>
        <v>2.6490203361510879E-12</v>
      </c>
      <c r="G236" s="24">
        <f>E236/$E$753</f>
        <v>7.311998988060288E-13</v>
      </c>
    </row>
    <row r="237" spans="1:7" hidden="1" x14ac:dyDescent="0.2">
      <c r="A237" s="4">
        <v>29037</v>
      </c>
      <c r="B237" s="26">
        <f>INPC!B5</f>
        <v>5.36</v>
      </c>
      <c r="C237" s="17">
        <f>C236*(1+B237/100)</f>
        <v>435.06801467557227</v>
      </c>
      <c r="D237" s="17">
        <f>IF(A237&lt;$D$1,C237,C237*1.2225)</f>
        <v>435.06801467557227</v>
      </c>
      <c r="E237" s="17">
        <f>SQRT(D237*D236)</f>
        <v>423.85691714627126</v>
      </c>
      <c r="F237" s="24">
        <f>E237/$E$507</f>
        <v>2.7595723553794155E-12</v>
      </c>
      <c r="G237" s="24">
        <f>E237/$E$753</f>
        <v>7.617151893719011E-13</v>
      </c>
    </row>
    <row r="238" spans="1:7" hidden="1" x14ac:dyDescent="0.2">
      <c r="A238" s="5">
        <v>29068</v>
      </c>
      <c r="B238" s="26">
        <f>INPC!B6</f>
        <v>5.79</v>
      </c>
      <c r="C238" s="17">
        <f>C237*(1+B238/100)</f>
        <v>460.25845272528795</v>
      </c>
      <c r="D238" s="17">
        <f>IF(A238&lt;$D$1,C238,C238*1.2225)</f>
        <v>460.25845272528795</v>
      </c>
      <c r="E238" s="17">
        <f>SQRT(D238*D237)</f>
        <v>447.48601236780775</v>
      </c>
      <c r="F238" s="24">
        <f>E238/$E$507</f>
        <v>2.913412472924265E-12</v>
      </c>
      <c r="G238" s="24">
        <f>E238/$E$753</f>
        <v>8.0417914362924801E-13</v>
      </c>
    </row>
    <row r="239" spans="1:7" hidden="1" x14ac:dyDescent="0.2">
      <c r="A239" s="5">
        <v>29099</v>
      </c>
      <c r="B239" s="26">
        <f>INPC!B7</f>
        <v>6.61</v>
      </c>
      <c r="C239" s="17">
        <f>C238*(1+B239/100)</f>
        <v>490.68153645042952</v>
      </c>
      <c r="D239" s="17">
        <f>IF(A239&lt;$D$1,C239,C239*1.2225)</f>
        <v>490.68153645042952</v>
      </c>
      <c r="E239" s="17">
        <f>SQRT(D239*D238)</f>
        <v>475.22660357722157</v>
      </c>
      <c r="F239" s="24">
        <f>E239/$E$507</f>
        <v>3.0940209885025582E-12</v>
      </c>
      <c r="G239" s="24">
        <f>E239/$E$753</f>
        <v>8.5403188598540294E-13</v>
      </c>
    </row>
    <row r="240" spans="1:7" hidden="1" x14ac:dyDescent="0.2">
      <c r="A240" s="5">
        <v>29129</v>
      </c>
      <c r="B240" s="26">
        <f>INPC!B8</f>
        <v>5.0599999999999996</v>
      </c>
      <c r="C240" s="17">
        <f>C239*(1+B240/100)</f>
        <v>515.5100221948212</v>
      </c>
      <c r="D240" s="17">
        <f>IF(A240&lt;$D$1,C240,C240*1.2225)</f>
        <v>515.5100221948212</v>
      </c>
      <c r="E240" s="17">
        <f>SQRT(D240*D239)</f>
        <v>502.94259090491619</v>
      </c>
      <c r="F240" s="24">
        <f>E240/$E$507</f>
        <v>3.274469317496462E-12</v>
      </c>
      <c r="G240" s="24">
        <f>E240/$E$753</f>
        <v>9.0384041259406165E-13</v>
      </c>
    </row>
    <row r="241" spans="1:7" hidden="1" x14ac:dyDescent="0.2">
      <c r="A241" s="4">
        <v>29160</v>
      </c>
      <c r="B241" s="26">
        <f>INPC!B9</f>
        <v>6.1</v>
      </c>
      <c r="C241" s="17">
        <f>C240*(1+B241/100)</f>
        <v>546.95613354870522</v>
      </c>
      <c r="D241" s="17">
        <f>IF(A241&lt;$D$1,C241,C241*1.2225)</f>
        <v>546.95613354870522</v>
      </c>
      <c r="E241" s="17">
        <f>SQRT(D241*D240)</f>
        <v>531.0003470293467</v>
      </c>
      <c r="F241" s="24">
        <f>E241/$E$507</f>
        <v>3.4571427740870882E-12</v>
      </c>
      <c r="G241" s="24">
        <f>E241/$E$753</f>
        <v>9.5426313345836646E-13</v>
      </c>
    </row>
    <row r="242" spans="1:7" hidden="1" x14ac:dyDescent="0.2">
      <c r="A242" s="5">
        <v>29190</v>
      </c>
      <c r="B242" s="26">
        <f>INPC!B10</f>
        <v>4.51</v>
      </c>
      <c r="C242" s="17">
        <f>C241*(1+B242/100)</f>
        <v>571.62385517175176</v>
      </c>
      <c r="D242" s="17">
        <f>IF(A242&lt;$D$1,C242,C242*1.2225)</f>
        <v>571.62385517175176</v>
      </c>
      <c r="E242" s="17">
        <f>SQRT(D242*D241)</f>
        <v>559.15398028534719</v>
      </c>
      <c r="F242" s="24">
        <f>E242/$E$507</f>
        <v>3.6404404504818283E-12</v>
      </c>
      <c r="G242" s="24">
        <f>E242/$E$753</f>
        <v>1.00485815555093E-12</v>
      </c>
    </row>
    <row r="243" spans="1:7" hidden="1" x14ac:dyDescent="0.2">
      <c r="A243" s="5">
        <v>29221</v>
      </c>
      <c r="B243" s="26">
        <f>INPC!B11</f>
        <v>6.56</v>
      </c>
      <c r="C243" s="17">
        <f>C242*(1+B243/100)</f>
        <v>609.1223800710186</v>
      </c>
      <c r="D243" s="17">
        <f>IF(A243&lt;$D$1,C243,C243*1.2225)</f>
        <v>609.1223800710186</v>
      </c>
      <c r="E243" s="17">
        <f>SQRT(D243*D242)</f>
        <v>590.07531991059295</v>
      </c>
      <c r="F243" s="24">
        <f>E243/$E$507</f>
        <v>3.8417576180666608E-12</v>
      </c>
      <c r="G243" s="24">
        <f>E243/$E$753</f>
        <v>1.0604270353202057E-12</v>
      </c>
    </row>
    <row r="244" spans="1:7" hidden="1" x14ac:dyDescent="0.2">
      <c r="A244" s="4">
        <v>29252</v>
      </c>
      <c r="B244" s="26">
        <f>INPC!B12</f>
        <v>4.1500000000000004</v>
      </c>
      <c r="C244" s="17">
        <f>C243*(1+B244/100)</f>
        <v>634.4009588439659</v>
      </c>
      <c r="D244" s="17">
        <f>IF(A244&lt;$D$1,C244,C244*1.2225)</f>
        <v>634.4009588439659</v>
      </c>
      <c r="E244" s="17">
        <f>SQRT(D244*D243)</f>
        <v>621.63318924456792</v>
      </c>
      <c r="F244" s="24">
        <f>E244/$E$507</f>
        <v>4.0472189902557571E-12</v>
      </c>
      <c r="G244" s="24">
        <f>E244/$E$753</f>
        <v>1.1171398255177689E-12</v>
      </c>
    </row>
    <row r="245" spans="1:7" hidden="1" x14ac:dyDescent="0.2">
      <c r="A245" s="5">
        <v>29281</v>
      </c>
      <c r="B245" s="26">
        <f>INPC!B13</f>
        <v>5.12</v>
      </c>
      <c r="C245" s="17">
        <f>C244*(1+B245/100)</f>
        <v>666.88228793677695</v>
      </c>
      <c r="D245" s="17">
        <f>IF(A245&lt;$D$1,C245,C245*1.2225)</f>
        <v>666.88228793677695</v>
      </c>
      <c r="E245" s="17">
        <f>SQRT(D245*D244)</f>
        <v>650.4389002075053</v>
      </c>
      <c r="F245" s="24">
        <f>E245/$E$507</f>
        <v>4.234762098400763E-12</v>
      </c>
      <c r="G245" s="24">
        <f>E245/$E$753</f>
        <v>1.1689066994167599E-12</v>
      </c>
    </row>
    <row r="246" spans="1:7" hidden="1" x14ac:dyDescent="0.2">
      <c r="A246" s="5">
        <v>29312</v>
      </c>
      <c r="B246" s="26">
        <f>INPC!B14</f>
        <v>4.8499999999999996</v>
      </c>
      <c r="C246" s="17">
        <f>C245*(1+B246/100)</f>
        <v>699.22607890171059</v>
      </c>
      <c r="D246" s="17">
        <f>IF(A246&lt;$D$1,C246,C246*1.2225)</f>
        <v>699.22607890171059</v>
      </c>
      <c r="E246" s="17">
        <f>SQRT(D246*D245)</f>
        <v>682.86271481391782</v>
      </c>
      <c r="F246" s="24">
        <f>E246/$E$507</f>
        <v>4.4458613133108872E-12</v>
      </c>
      <c r="G246" s="24">
        <f>E246/$E$753</f>
        <v>1.2271756837932962E-12</v>
      </c>
    </row>
    <row r="247" spans="1:7" hidden="1" x14ac:dyDescent="0.2">
      <c r="A247" s="5">
        <v>29342</v>
      </c>
      <c r="B247" s="26">
        <f>INPC!B15</f>
        <v>5.53</v>
      </c>
      <c r="C247" s="17">
        <f>C246*(1+B247/100)</f>
        <v>737.8932810649751</v>
      </c>
      <c r="D247" s="17">
        <f>IF(A247&lt;$D$1,C247,C247*1.2225)</f>
        <v>737.8932810649751</v>
      </c>
      <c r="E247" s="17">
        <f>SQRT(D247*D246)</f>
        <v>718.29953749600895</v>
      </c>
      <c r="F247" s="24">
        <f>E247/$E$507</f>
        <v>4.6765770862051479E-12</v>
      </c>
      <c r="G247" s="24">
        <f>E247/$E$753</f>
        <v>1.2908593586564163E-12</v>
      </c>
    </row>
    <row r="248" spans="1:7" hidden="1" x14ac:dyDescent="0.2">
      <c r="A248" s="4">
        <v>29373</v>
      </c>
      <c r="B248" s="26">
        <f>INPC!B16</f>
        <v>5.52</v>
      </c>
      <c r="C248" s="17">
        <f>C247*(1+B248/100)</f>
        <v>778.62499017976165</v>
      </c>
      <c r="D248" s="17">
        <f>IF(A248&lt;$D$1,C248,C248*1.2225)</f>
        <v>778.62499017976165</v>
      </c>
      <c r="E248" s="17">
        <f>SQRT(D248*D247)</f>
        <v>757.98558609179918</v>
      </c>
      <c r="F248" s="24">
        <f>E248/$E$507</f>
        <v>4.9349579646783267E-12</v>
      </c>
      <c r="G248" s="24">
        <f>E248/$E$753</f>
        <v>1.3621793366930911E-12</v>
      </c>
    </row>
    <row r="249" spans="1:7" hidden="1" x14ac:dyDescent="0.2">
      <c r="A249" s="5">
        <v>29403</v>
      </c>
      <c r="B249" s="26">
        <f>INPC!B17</f>
        <v>5.51</v>
      </c>
      <c r="C249" s="17">
        <f>C248*(1+B249/100)</f>
        <v>821.52722713866649</v>
      </c>
      <c r="D249" s="17">
        <f>IF(A249&lt;$D$1,C249,C249*1.2225)</f>
        <v>821.52722713866649</v>
      </c>
      <c r="E249" s="17">
        <f>SQRT(D249*D248)</f>
        <v>799.78849026680234</v>
      </c>
      <c r="F249" s="24">
        <f>E249/$E$507</f>
        <v>5.2071208905840612E-12</v>
      </c>
      <c r="G249" s="24">
        <f>E249/$E$753</f>
        <v>1.4373035254979879E-12</v>
      </c>
    </row>
    <row r="250" spans="1:7" x14ac:dyDescent="0.2">
      <c r="A250" s="5">
        <v>29434</v>
      </c>
      <c r="B250" s="26">
        <f>INPC!B18</f>
        <v>5.15</v>
      </c>
      <c r="C250" s="17">
        <f>C249*(1+B250/100)</f>
        <v>863.83587933630793</v>
      </c>
      <c r="D250" s="17">
        <f>IF(A250&lt;$D$1,C250,C250*1.2225)</f>
        <v>863.83587933630793</v>
      </c>
      <c r="E250" s="17">
        <f>SQRT(D250*D249)</f>
        <v>842.41598670374765</v>
      </c>
      <c r="F250" s="24">
        <f>E250/$E$507</f>
        <v>5.4846524253728014E-12</v>
      </c>
      <c r="G250" s="25">
        <f>E250/$E$753</f>
        <v>1.5139095927990262E-12</v>
      </c>
    </row>
    <row r="251" spans="1:7" hidden="1" x14ac:dyDescent="0.2">
      <c r="A251" s="5">
        <v>29465</v>
      </c>
      <c r="B251" s="26">
        <f>INPC!B19</f>
        <v>4.45</v>
      </c>
      <c r="C251" s="17">
        <f>C250*(1+B251/100)</f>
        <v>902.27657596677363</v>
      </c>
      <c r="D251" s="17">
        <f>IF(A251&lt;$D$1,C251,C251*1.2225)</f>
        <v>902.27657596677363</v>
      </c>
      <c r="E251" s="17">
        <f>SQRT(D251*D250)</f>
        <v>882.84703058050263</v>
      </c>
      <c r="F251" s="24">
        <f>E251/$E$507</f>
        <v>5.7478836868386187E-12</v>
      </c>
      <c r="G251" s="24">
        <f>E251/$E$753</f>
        <v>1.5865684052360972E-12</v>
      </c>
    </row>
    <row r="252" spans="1:7" hidden="1" x14ac:dyDescent="0.2">
      <c r="A252" s="4">
        <v>29495</v>
      </c>
      <c r="B252" s="26">
        <f>INPC!B20</f>
        <v>9.65</v>
      </c>
      <c r="C252" s="17">
        <f>C251*(1+B252/100)</f>
        <v>989.34626554756733</v>
      </c>
      <c r="D252" s="17">
        <f>IF(A252&lt;$D$1,C252,C252*1.2225)</f>
        <v>989.34626554756733</v>
      </c>
      <c r="E252" s="17">
        <f>SQRT(D252*D251)</f>
        <v>944.8089547224738</v>
      </c>
      <c r="F252" s="24">
        <f>E252/$E$507</f>
        <v>6.151294380474397E-12</v>
      </c>
      <c r="G252" s="24">
        <f>E252/$E$753</f>
        <v>1.6979204603102893E-12</v>
      </c>
    </row>
    <row r="253" spans="1:7" hidden="1" x14ac:dyDescent="0.2">
      <c r="A253" s="5">
        <v>29526</v>
      </c>
      <c r="B253" s="26">
        <f>INPC!B21</f>
        <v>8.0299999999999994</v>
      </c>
      <c r="C253" s="17">
        <f>C252*(1+B253/100)</f>
        <v>1068.7907706710371</v>
      </c>
      <c r="D253" s="17">
        <f>IF(A253&lt;$D$1,C253,C253*1.2225)</f>
        <v>1068.7907706710371</v>
      </c>
      <c r="E253" s="17">
        <f>SQRT(D253*D252)</f>
        <v>1028.3015888420562</v>
      </c>
      <c r="F253" s="24">
        <f>E253/$E$507</f>
        <v>6.6948833976018352E-12</v>
      </c>
      <c r="G253" s="24">
        <f>E253/$E$753</f>
        <v>1.8479654519969752E-12</v>
      </c>
    </row>
    <row r="254" spans="1:7" hidden="1" x14ac:dyDescent="0.2">
      <c r="A254" s="5">
        <v>29556</v>
      </c>
      <c r="B254" s="26">
        <f>INPC!B22</f>
        <v>6.8</v>
      </c>
      <c r="C254" s="17">
        <f>C253*(1+B254/100)</f>
        <v>1141.4685430766676</v>
      </c>
      <c r="D254" s="17">
        <f>IF(A254&lt;$D$1,C254,C254*1.2225)</f>
        <v>1141.4685430766676</v>
      </c>
      <c r="E254" s="17">
        <f>SQRT(D254*D253)</f>
        <v>1104.532047453426</v>
      </c>
      <c r="F254" s="24">
        <f>E254/$E$507</f>
        <v>7.1911911319150054E-12</v>
      </c>
      <c r="G254" s="24">
        <f>E254/$E$753</f>
        <v>1.9849595551202898E-12</v>
      </c>
    </row>
    <row r="255" spans="1:7" hidden="1" x14ac:dyDescent="0.2">
      <c r="A255" s="5">
        <v>29587</v>
      </c>
      <c r="B255" s="26">
        <f>INPC!B23</f>
        <v>6.21</v>
      </c>
      <c r="C255" s="17">
        <f>C254*(1+B255/100)</f>
        <v>1212.3537396017286</v>
      </c>
      <c r="D255" s="17">
        <f>IF(A255&lt;$D$1,C255,C255*1.2225)</f>
        <v>1212.3537396017286</v>
      </c>
      <c r="E255" s="17">
        <f>SQRT(D255*D254)</f>
        <v>1176.377344578148</v>
      </c>
      <c r="F255" s="24">
        <f>E255/$E$507</f>
        <v>7.6589487354578626E-12</v>
      </c>
      <c r="G255" s="24">
        <f>E255/$E$753</f>
        <v>2.1140730646349934E-12</v>
      </c>
    </row>
    <row r="256" spans="1:7" hidden="1" x14ac:dyDescent="0.2">
      <c r="A256" s="4">
        <v>29618</v>
      </c>
      <c r="B256" s="26">
        <f>INPC!B24</f>
        <v>6.05</v>
      </c>
      <c r="C256" s="17">
        <f>C255*(1+B256/100)</f>
        <v>1285.7011408476333</v>
      </c>
      <c r="D256" s="17">
        <f>IF(A256&lt;$D$1,C256,C256*1.2225)</f>
        <v>1285.7011408476333</v>
      </c>
      <c r="E256" s="17">
        <f>SQRT(D256*D255)</f>
        <v>1248.4889211029615</v>
      </c>
      <c r="F256" s="24">
        <f>E256/$E$507</f>
        <v>8.1284399836377984E-12</v>
      </c>
      <c r="G256" s="24">
        <f>E256/$E$753</f>
        <v>2.2436651060680442E-12</v>
      </c>
    </row>
    <row r="257" spans="1:7" hidden="1" x14ac:dyDescent="0.2">
      <c r="A257" s="5">
        <v>29646</v>
      </c>
      <c r="B257" s="26">
        <f>INPC!B25</f>
        <v>5.35</v>
      </c>
      <c r="C257" s="17">
        <f>C256*(1+B257/100)</f>
        <v>1354.4861518829819</v>
      </c>
      <c r="D257" s="17">
        <f>IF(A257&lt;$D$1,C257,C257*1.2225)</f>
        <v>1354.4861518829819</v>
      </c>
      <c r="E257" s="17">
        <f>SQRT(D257*D256)</f>
        <v>1319.6455549647681</v>
      </c>
      <c r="F257" s="24">
        <f>E257/$E$507</f>
        <v>8.5917139606887198E-12</v>
      </c>
      <c r="G257" s="24">
        <f>E257/$E$753</f>
        <v>2.3715410157076368E-12</v>
      </c>
    </row>
    <row r="258" spans="1:7" hidden="1" x14ac:dyDescent="0.2">
      <c r="A258" s="5">
        <v>29677</v>
      </c>
      <c r="B258" s="26">
        <f>INPC!B26</f>
        <v>6.54</v>
      </c>
      <c r="C258" s="17">
        <f>C257*(1+B258/100)</f>
        <v>1443.0695462161286</v>
      </c>
      <c r="D258" s="17">
        <f>IF(A258&lt;$D$1,C258,C258*1.2225)</f>
        <v>1443.0695462161286</v>
      </c>
      <c r="E258" s="17">
        <f>SQRT(D258*D257)</f>
        <v>1398.0764344462018</v>
      </c>
      <c r="F258" s="24">
        <f>E258/$E$507</f>
        <v>9.1023478044921184E-12</v>
      </c>
      <c r="G258" s="24">
        <f>E258/$E$753</f>
        <v>2.5124895051626015E-12</v>
      </c>
    </row>
    <row r="259" spans="1:7" hidden="1" x14ac:dyDescent="0.2">
      <c r="A259" s="4">
        <v>29707</v>
      </c>
      <c r="B259" s="26">
        <f>INPC!B27</f>
        <v>5.51</v>
      </c>
      <c r="C259" s="17">
        <f>C258*(1+B259/100)</f>
        <v>1522.5826782126371</v>
      </c>
      <c r="D259" s="17">
        <f>IF(A259&lt;$D$1,C259,C259*1.2225)</f>
        <v>1522.5826782126371</v>
      </c>
      <c r="E259" s="17">
        <f>SQRT(D259*D258)</f>
        <v>1482.2930528491484</v>
      </c>
      <c r="F259" s="24">
        <f>E259/$E$507</f>
        <v>9.6506504099397667E-12</v>
      </c>
      <c r="G259" s="24">
        <f>E259/$E$753</f>
        <v>2.6638355722905424E-12</v>
      </c>
    </row>
    <row r="260" spans="1:7" hidden="1" x14ac:dyDescent="0.2">
      <c r="A260" s="5">
        <v>29738</v>
      </c>
      <c r="B260" s="26">
        <f>INPC!B28</f>
        <v>5.07</v>
      </c>
      <c r="C260" s="17">
        <f>C259*(1+B260/100)</f>
        <v>1599.7776199980178</v>
      </c>
      <c r="D260" s="17">
        <f>IF(A260&lt;$D$1,C260,C260*1.2225)</f>
        <v>1599.7776199980178</v>
      </c>
      <c r="E260" s="17">
        <f>SQRT(D260*D259)</f>
        <v>1560.7029484181865</v>
      </c>
      <c r="F260" s="24">
        <f>E260/$E$507</f>
        <v>1.0161147635412281E-11</v>
      </c>
      <c r="G260" s="24">
        <f>E260/$E$753</f>
        <v>2.8047463514613107E-12</v>
      </c>
    </row>
    <row r="261" spans="1:7" hidden="1" x14ac:dyDescent="0.2">
      <c r="A261" s="5">
        <v>29768</v>
      </c>
      <c r="B261" s="26">
        <f>INPC!B29</f>
        <v>6.2</v>
      </c>
      <c r="C261" s="17">
        <f>C260*(1+B261/100)</f>
        <v>1698.963832437895</v>
      </c>
      <c r="D261" s="17">
        <f>IF(A261&lt;$D$1,C261,C261*1.2225)</f>
        <v>1698.963832437895</v>
      </c>
      <c r="E261" s="17">
        <f>SQRT(D261*D260)</f>
        <v>1648.6249774646164</v>
      </c>
      <c r="F261" s="24">
        <f>E261/$E$507</f>
        <v>1.0733574770538318E-11</v>
      </c>
      <c r="G261" s="24">
        <f>E261/$E$753</f>
        <v>2.9627514288727325E-12</v>
      </c>
    </row>
    <row r="262" spans="1:7" hidden="1" x14ac:dyDescent="0.2">
      <c r="A262" s="5">
        <v>29799</v>
      </c>
      <c r="B262" s="26">
        <f>INPC!B30</f>
        <v>6.12</v>
      </c>
      <c r="C262" s="17">
        <f>C261*(1+B262/100)</f>
        <v>1802.9404189830941</v>
      </c>
      <c r="D262" s="17">
        <f>IF(A262&lt;$D$1,C262,C262*1.2225)</f>
        <v>1802.9404189830941</v>
      </c>
      <c r="E262" s="17">
        <f>SQRT(D262*D261)</f>
        <v>1750.1801518394332</v>
      </c>
      <c r="F262" s="24">
        <f>E262/$E$507</f>
        <v>1.1394762167543255E-11</v>
      </c>
      <c r="G262" s="24">
        <f>E262/$E$753</f>
        <v>3.1452566936244097E-12</v>
      </c>
    </row>
    <row r="263" spans="1:7" hidden="1" x14ac:dyDescent="0.2">
      <c r="A263" s="4">
        <v>29830</v>
      </c>
      <c r="B263" s="26">
        <f>INPC!B31</f>
        <v>5.28</v>
      </c>
      <c r="C263" s="17">
        <f>C262*(1+B263/100)</f>
        <v>1898.1356731054013</v>
      </c>
      <c r="D263" s="17">
        <f>IF(A263&lt;$D$1,C263,C263*1.2225)</f>
        <v>1898.1356731054013</v>
      </c>
      <c r="E263" s="17">
        <f>SQRT(D263*D262)</f>
        <v>1849.9258162843746</v>
      </c>
      <c r="F263" s="24">
        <f>E263/$E$507</f>
        <v>1.2044168528596511E-11</v>
      </c>
      <c r="G263" s="24">
        <f>E263/$E$753</f>
        <v>3.3245100798691009E-12</v>
      </c>
    </row>
    <row r="264" spans="1:7" hidden="1" x14ac:dyDescent="0.2">
      <c r="A264" s="5">
        <v>29860</v>
      </c>
      <c r="B264" s="26">
        <f>INPC!B32</f>
        <v>4.62</v>
      </c>
      <c r="C264" s="17">
        <f>C263*(1+B264/100)</f>
        <v>1985.8295412028708</v>
      </c>
      <c r="D264" s="17">
        <f>IF(A264&lt;$D$1,C264,C264*1.2225)</f>
        <v>1985.8295412028708</v>
      </c>
      <c r="E264" s="17">
        <f>SQRT(D264*D263)</f>
        <v>1941.4875464096342</v>
      </c>
      <c r="F264" s="24">
        <f>E264/$E$507</f>
        <v>1.2640292383234894E-11</v>
      </c>
      <c r="G264" s="24">
        <f>E264/$E$753</f>
        <v>3.4890560806071583E-12</v>
      </c>
    </row>
    <row r="265" spans="1:7" hidden="1" x14ac:dyDescent="0.2">
      <c r="A265" s="5">
        <v>29891</v>
      </c>
      <c r="B265" s="26">
        <f>INPC!B33</f>
        <v>5.23</v>
      </c>
      <c r="C265" s="17">
        <f>C264*(1+B265/100)</f>
        <v>2089.688426207781</v>
      </c>
      <c r="D265" s="17">
        <f>IF(A265&lt;$D$1,C265,C265*1.2225)</f>
        <v>2089.688426207781</v>
      </c>
      <c r="E265" s="17">
        <f>SQRT(D265*D264)</f>
        <v>2037.0972015770742</v>
      </c>
      <c r="F265" s="24">
        <f>E265/$E$507</f>
        <v>1.3262770749481246E-11</v>
      </c>
      <c r="G265" s="24">
        <f>E265/$E$753</f>
        <v>3.6608766258090106E-12</v>
      </c>
    </row>
    <row r="266" spans="1:7" hidden="1" x14ac:dyDescent="0.2">
      <c r="A266" s="5">
        <v>29921</v>
      </c>
      <c r="B266" s="26">
        <f>INPC!B34</f>
        <v>5.69</v>
      </c>
      <c r="C266" s="17">
        <f>C265*(1+B266/100)</f>
        <v>2208.5916976590038</v>
      </c>
      <c r="D266" s="17">
        <f>IF(A266&lt;$D$1,C266,C266*1.2225)</f>
        <v>2208.5916976590038</v>
      </c>
      <c r="E266" s="17">
        <f>SQRT(D266*D265)</f>
        <v>2148.3175996152468</v>
      </c>
      <c r="F266" s="24">
        <f>E266/$E$507</f>
        <v>1.398688476853952E-11</v>
      </c>
      <c r="G266" s="24">
        <f>E266/$E$753</f>
        <v>3.8607513078692988E-12</v>
      </c>
    </row>
    <row r="267" spans="1:7" hidden="1" x14ac:dyDescent="0.2">
      <c r="A267" s="4">
        <v>29952</v>
      </c>
      <c r="B267" s="26">
        <f>INPC!B35</f>
        <v>6.71</v>
      </c>
      <c r="C267" s="17">
        <f>C266*(1+B267/100)</f>
        <v>2356.788200571923</v>
      </c>
      <c r="D267" s="17">
        <f>IF(A267&lt;$D$1,C267,C267*1.2225)</f>
        <v>2356.788200571923</v>
      </c>
      <c r="E267" s="17">
        <f>SQRT(D267*D266)</f>
        <v>2281.4869828521601</v>
      </c>
      <c r="F267" s="24">
        <f>E267/$E$507</f>
        <v>1.4853900343129503E-11</v>
      </c>
      <c r="G267" s="24">
        <f>E267/$E$753</f>
        <v>4.1000706108402095E-12</v>
      </c>
    </row>
    <row r="268" spans="1:7" hidden="1" x14ac:dyDescent="0.2">
      <c r="A268" s="5">
        <v>29983</v>
      </c>
      <c r="B268" s="26">
        <f>INPC!B36</f>
        <v>6.58</v>
      </c>
      <c r="C268" s="17">
        <f>C267*(1+B268/100)</f>
        <v>2511.8648641695559</v>
      </c>
      <c r="D268" s="17">
        <f>IF(A268&lt;$D$1,C268,C268*1.2225)</f>
        <v>2511.8648641695559</v>
      </c>
      <c r="E268" s="17">
        <f>SQRT(D268*D267)</f>
        <v>2433.0913409294781</v>
      </c>
      <c r="F268" s="24">
        <f>E268/$E$507</f>
        <v>1.5840939078563973E-11</v>
      </c>
      <c r="G268" s="24">
        <f>E268/$E$753</f>
        <v>4.372519490759322E-12</v>
      </c>
    </row>
    <row r="269" spans="1:7" hidden="1" x14ac:dyDescent="0.2">
      <c r="A269" s="5">
        <v>30011</v>
      </c>
      <c r="B269" s="26">
        <f>INPC!B37</f>
        <v>5.24</v>
      </c>
      <c r="C269" s="17">
        <f>C268*(1+B269/100)</f>
        <v>2643.4865830520407</v>
      </c>
      <c r="D269" s="17">
        <f>IF(A269&lt;$D$1,C269,C269*1.2225)</f>
        <v>2643.4865830520407</v>
      </c>
      <c r="E269" s="17">
        <f>SQRT(D269*D268)</f>
        <v>2576.835475320855</v>
      </c>
      <c r="F269" s="24">
        <f>E269/$E$507</f>
        <v>1.6776802865299103E-11</v>
      </c>
      <c r="G269" s="24">
        <f>E269/$E$753</f>
        <v>4.630842727020776E-12</v>
      </c>
    </row>
    <row r="270" spans="1:7" hidden="1" x14ac:dyDescent="0.2">
      <c r="A270" s="5">
        <v>30042</v>
      </c>
      <c r="B270" s="26">
        <f>INPC!B38</f>
        <v>5.65</v>
      </c>
      <c r="C270" s="17">
        <f>C269*(1+B270/100)</f>
        <v>2792.8435749944811</v>
      </c>
      <c r="D270" s="17">
        <f>IF(A270&lt;$D$1,C270,C270*1.2225)</f>
        <v>2792.8435749944811</v>
      </c>
      <c r="E270" s="17">
        <f>SQRT(D270*D269)</f>
        <v>2717.1390319711295</v>
      </c>
      <c r="F270" s="24">
        <f>E270/$E$507</f>
        <v>1.7690266349392471E-11</v>
      </c>
      <c r="G270" s="24">
        <f>E270/$E$753</f>
        <v>4.8829828854094952E-12</v>
      </c>
    </row>
    <row r="271" spans="1:7" hidden="1" x14ac:dyDescent="0.2">
      <c r="A271" s="4">
        <v>30072</v>
      </c>
      <c r="B271" s="26">
        <f>INPC!B39</f>
        <v>6.66</v>
      </c>
      <c r="C271" s="17">
        <f>C270*(1+B271/100)</f>
        <v>2978.8469570891134</v>
      </c>
      <c r="D271" s="17">
        <f>IF(A271&lt;$D$1,C271,C271*1.2225)</f>
        <v>2978.8469570891134</v>
      </c>
      <c r="E271" s="17">
        <f>SQRT(D271*D270)</f>
        <v>2884.3463011570216</v>
      </c>
      <c r="F271" s="24">
        <f>E271/$E$507</f>
        <v>1.8778889747992422E-11</v>
      </c>
      <c r="G271" s="24">
        <f>E271/$E$753</f>
        <v>5.1834718276917259E-12</v>
      </c>
    </row>
    <row r="272" spans="1:7" hidden="1" x14ac:dyDescent="0.2">
      <c r="A272" s="5">
        <v>30103</v>
      </c>
      <c r="B272" s="26">
        <f>INPC!B40</f>
        <v>7.14</v>
      </c>
      <c r="C272" s="17">
        <f>C271*(1+B272/100)</f>
        <v>3191.5366298252757</v>
      </c>
      <c r="D272" s="17">
        <f>IF(A272&lt;$D$1,C272,C272*1.2225)</f>
        <v>3191.5366298252757</v>
      </c>
      <c r="E272" s="17">
        <f>SQRT(D272*D271)</f>
        <v>3083.3584251905368</v>
      </c>
      <c r="F272" s="24">
        <f>E272/$E$507</f>
        <v>2.0074582548208552E-11</v>
      </c>
      <c r="G272" s="24">
        <f>E272/$E$753</f>
        <v>5.5411174189589795E-12</v>
      </c>
    </row>
    <row r="273" spans="1:7" hidden="1" x14ac:dyDescent="0.2">
      <c r="A273" s="5">
        <v>30133</v>
      </c>
      <c r="B273" s="26">
        <f>INPC!B41</f>
        <v>6.39</v>
      </c>
      <c r="C273" s="17">
        <f>C272*(1+B273/100)</f>
        <v>3395.4758204711111</v>
      </c>
      <c r="D273" s="17">
        <f>IF(A273&lt;$D$1,C273,C273*1.2225)</f>
        <v>3395.4758204711111</v>
      </c>
      <c r="E273" s="17">
        <f>SQRT(D273*D272)</f>
        <v>3291.9273164393503</v>
      </c>
      <c r="F273" s="24">
        <f>E273/$E$507</f>
        <v>2.1432495851493722E-11</v>
      </c>
      <c r="G273" s="24">
        <f>E273/$E$753</f>
        <v>5.9159375199598372E-12</v>
      </c>
    </row>
    <row r="274" spans="1:7" hidden="1" x14ac:dyDescent="0.2">
      <c r="A274" s="4">
        <v>30164</v>
      </c>
      <c r="B274" s="26">
        <f>INPC!B42</f>
        <v>5.57</v>
      </c>
      <c r="C274" s="17">
        <f>C273*(1+B274/100)</f>
        <v>3584.6038236713521</v>
      </c>
      <c r="D274" s="17">
        <f>IF(A274&lt;$D$1,C274,C274*1.2225)</f>
        <v>3584.6038236713521</v>
      </c>
      <c r="E274" s="17">
        <f>SQRT(D274*D273)</f>
        <v>3488.7584624396636</v>
      </c>
      <c r="F274" s="24">
        <f>E274/$E$507</f>
        <v>2.2713989127189557E-11</v>
      </c>
      <c r="G274" s="24">
        <f>E274/$E$753</f>
        <v>6.2696636657058005E-12</v>
      </c>
    </row>
    <row r="275" spans="1:7" hidden="1" x14ac:dyDescent="0.2">
      <c r="A275" s="5">
        <v>30195</v>
      </c>
      <c r="B275" s="26">
        <f>INPC!B43</f>
        <v>4.3</v>
      </c>
      <c r="C275" s="17">
        <f>C274*(1+B275/100)</f>
        <v>3738.7417880892199</v>
      </c>
      <c r="D275" s="17">
        <f>IF(A275&lt;$D$1,C275,C275*1.2225)</f>
        <v>3738.7417880892199</v>
      </c>
      <c r="E275" s="17">
        <f>SQRT(D275*D274)</f>
        <v>3660.8616621370011</v>
      </c>
      <c r="F275" s="24">
        <f>E275/$E$507</f>
        <v>2.3834488080833433E-11</v>
      </c>
      <c r="G275" s="24">
        <f>E275/$E$753</f>
        <v>6.5789511069291032E-12</v>
      </c>
    </row>
    <row r="276" spans="1:7" hidden="1" x14ac:dyDescent="0.2">
      <c r="A276" s="5">
        <v>30225</v>
      </c>
      <c r="B276" s="26">
        <f>INPC!B44</f>
        <v>3.91</v>
      </c>
      <c r="C276" s="17">
        <f>C275*(1+B276/100)</f>
        <v>3884.9265920035082</v>
      </c>
      <c r="D276" s="17">
        <f>IF(A276&lt;$D$1,C276,C276*1.2225)</f>
        <v>3884.9265920035082</v>
      </c>
      <c r="E276" s="17">
        <f>SQRT(D276*D275)</f>
        <v>3811.1333475991828</v>
      </c>
      <c r="F276" s="24">
        <f>E276/$E$507</f>
        <v>2.4812850288036959E-11</v>
      </c>
      <c r="G276" s="24">
        <f>E276/$E$753</f>
        <v>6.8490050348435544E-12</v>
      </c>
    </row>
    <row r="277" spans="1:7" hidden="1" x14ac:dyDescent="0.2">
      <c r="A277" s="5">
        <v>30256</v>
      </c>
      <c r="B277" s="26">
        <f>INPC!B45</f>
        <v>5.26</v>
      </c>
      <c r="C277" s="17">
        <f>C276*(1+B277/100)</f>
        <v>4089.2737307428924</v>
      </c>
      <c r="D277" s="17">
        <f>IF(A277&lt;$D$1,C277,C277*1.2225)</f>
        <v>4089.2737307428924</v>
      </c>
      <c r="E277" s="17">
        <f>SQRT(D277*D276)</f>
        <v>3985.7907946283954</v>
      </c>
      <c r="F277" s="24">
        <f>E277/$E$507</f>
        <v>2.5949978981672575E-11</v>
      </c>
      <c r="G277" s="24">
        <f>E277/$E$753</f>
        <v>7.16288272553878E-12</v>
      </c>
    </row>
    <row r="278" spans="1:7" hidden="1" x14ac:dyDescent="0.2">
      <c r="A278" s="4">
        <v>30286</v>
      </c>
      <c r="B278" s="26">
        <f>INPC!B46</f>
        <v>8.19</v>
      </c>
      <c r="C278" s="17">
        <f>C277*(1+B278/100)</f>
        <v>4424.1852492907356</v>
      </c>
      <c r="D278" s="17">
        <f>IF(A278&lt;$D$1,C278,C278*1.2225)</f>
        <v>4424.1852492907356</v>
      </c>
      <c r="E278" s="17">
        <f>SQRT(D278*D277)</f>
        <v>4253.4344381763785</v>
      </c>
      <c r="F278" s="24">
        <f>E278/$E$507</f>
        <v>2.7692505692810698E-11</v>
      </c>
      <c r="G278" s="24">
        <f>E278/$E$753</f>
        <v>7.6438663319924264E-12</v>
      </c>
    </row>
    <row r="279" spans="1:7" hidden="1" x14ac:dyDescent="0.2">
      <c r="A279" s="5">
        <v>30317</v>
      </c>
      <c r="B279" s="26">
        <f>INPC!B47</f>
        <v>9.14</v>
      </c>
      <c r="C279" s="17">
        <f>C278*(1+B279/100)</f>
        <v>4828.5557810759083</v>
      </c>
      <c r="D279" s="17">
        <f>IF(A279&lt;$D$1,C279,C279*1.2225)</f>
        <v>4828.5557810759083</v>
      </c>
      <c r="E279" s="17">
        <f>SQRT(D279*D278)</f>
        <v>4621.9503742482502</v>
      </c>
      <c r="F279" s="24">
        <f>E279/$E$507</f>
        <v>3.0091773815052438E-11</v>
      </c>
      <c r="G279" s="24">
        <f>E279/$E$753</f>
        <v>8.3061279931243575E-12</v>
      </c>
    </row>
    <row r="280" spans="1:7" hidden="1" x14ac:dyDescent="0.2">
      <c r="A280" s="5">
        <v>30348</v>
      </c>
      <c r="B280" s="26">
        <f>INPC!B48</f>
        <v>8.0399999999999991</v>
      </c>
      <c r="C280" s="17">
        <f>C279*(1+B280/100)</f>
        <v>5216.7716658744112</v>
      </c>
      <c r="D280" s="17">
        <f>IF(A280&lt;$D$1,C280,C280*1.2225)</f>
        <v>5216.7716658744112</v>
      </c>
      <c r="E280" s="17">
        <f>SQRT(D280*D279)</f>
        <v>5018.9115339693808</v>
      </c>
      <c r="F280" s="24">
        <f>E280/$E$507</f>
        <v>3.2676238048646036E-11</v>
      </c>
      <c r="G280" s="24">
        <f>E280/$E$753</f>
        <v>9.0195086947678878E-12</v>
      </c>
    </row>
    <row r="281" spans="1:7" hidden="1" x14ac:dyDescent="0.2">
      <c r="A281" s="5">
        <v>30376</v>
      </c>
      <c r="B281" s="26">
        <f>INPC!B49</f>
        <v>7.22</v>
      </c>
      <c r="C281" s="17">
        <f>C280*(1+B281/100)</f>
        <v>5593.4225801505436</v>
      </c>
      <c r="D281" s="17">
        <f>IF(A281&lt;$D$1,C281,C281*1.2225)</f>
        <v>5593.4225801505436</v>
      </c>
      <c r="E281" s="17">
        <f>SQRT(D281*D280)</f>
        <v>5401.8152903807713</v>
      </c>
      <c r="F281" s="24">
        <f>E281/$E$507</f>
        <v>3.5169179836827733E-11</v>
      </c>
      <c r="G281" s="24">
        <f>E281/$E$753</f>
        <v>9.7076267731274833E-12</v>
      </c>
    </row>
    <row r="282" spans="1:7" hidden="1" x14ac:dyDescent="0.2">
      <c r="A282" s="4">
        <v>30407</v>
      </c>
      <c r="B282" s="26">
        <f>INPC!B50</f>
        <v>6.57</v>
      </c>
      <c r="C282" s="17">
        <f>C281*(1+B282/100)</f>
        <v>5960.9104436664347</v>
      </c>
      <c r="D282" s="17">
        <f>IF(A282&lt;$D$1,C282,C282*1.2225)</f>
        <v>5960.9104436664347</v>
      </c>
      <c r="E282" s="17">
        <f>SQRT(D282*D281)</f>
        <v>5774.24376640431</v>
      </c>
      <c r="F282" s="24">
        <f>E282/$E$507</f>
        <v>3.7593921029469335E-11</v>
      </c>
      <c r="G282" s="24">
        <f>E282/$E$753</f>
        <v>1.0376919677562637E-11</v>
      </c>
    </row>
    <row r="283" spans="1:7" hidden="1" x14ac:dyDescent="0.2">
      <c r="A283" s="5">
        <v>30437</v>
      </c>
      <c r="B283" s="26">
        <f>INPC!B51</f>
        <v>6.71</v>
      </c>
      <c r="C283" s="17">
        <f>C282*(1+B283/100)</f>
        <v>6360.8875344364524</v>
      </c>
      <c r="D283" s="17">
        <f>IF(A283&lt;$D$1,C283,C283*1.2225)</f>
        <v>6360.8875344364524</v>
      </c>
      <c r="E283" s="17">
        <f>SQRT(D283*D282)</f>
        <v>6157.6522258901477</v>
      </c>
      <c r="F283" s="24">
        <f>E283/$E$507</f>
        <v>4.0090148748812186E-11</v>
      </c>
      <c r="G283" s="24">
        <f>E283/$E$753</f>
        <v>1.106594476010779E-11</v>
      </c>
    </row>
    <row r="284" spans="1:7" hidden="1" x14ac:dyDescent="0.2">
      <c r="A284" s="5">
        <v>30468</v>
      </c>
      <c r="B284" s="26">
        <f>INPC!B52</f>
        <v>10.83</v>
      </c>
      <c r="C284" s="17">
        <f>C283*(1+B284/100)</f>
        <v>7049.7716544159202</v>
      </c>
      <c r="D284" s="17">
        <f>IF(A284&lt;$D$1,C284,C284*1.2225)</f>
        <v>7049.7716544159202</v>
      </c>
      <c r="E284" s="17">
        <f>SQRT(D284*D283)</f>
        <v>6696.4770317830307</v>
      </c>
      <c r="F284" s="24">
        <f>E284/$E$507</f>
        <v>4.3598233620343361E-11</v>
      </c>
      <c r="G284" s="24">
        <f>E284/$E$753</f>
        <v>1.2034269264099163E-11</v>
      </c>
    </row>
    <row r="285" spans="1:7" hidden="1" x14ac:dyDescent="0.2">
      <c r="A285" s="5">
        <v>30498</v>
      </c>
      <c r="B285" s="26">
        <f>INPC!B53</f>
        <v>11.43</v>
      </c>
      <c r="C285" s="17">
        <f>C284*(1+B285/100)</f>
        <v>7855.5605545156604</v>
      </c>
      <c r="D285" s="17">
        <f>IF(A285&lt;$D$1,C285,C285*1.2225)</f>
        <v>7855.5605545156604</v>
      </c>
      <c r="E285" s="17">
        <f>SQRT(D285*D284)</f>
        <v>7441.7678092488422</v>
      </c>
      <c r="F285" s="24">
        <f>E285/$E$507</f>
        <v>4.8450540479132065E-11</v>
      </c>
      <c r="G285" s="24">
        <f>E285/$E$753</f>
        <v>1.3373634702598285E-11</v>
      </c>
    </row>
    <row r="286" spans="1:7" hidden="1" x14ac:dyDescent="0.2">
      <c r="A286" s="4">
        <v>30529</v>
      </c>
      <c r="B286" s="26">
        <f>INPC!B54</f>
        <v>9.85</v>
      </c>
      <c r="C286" s="17">
        <f>C285*(1+B286/100)</f>
        <v>8629.3332691354535</v>
      </c>
      <c r="D286" s="17">
        <f>IF(A286&lt;$D$1,C286,C286*1.2225)</f>
        <v>8629.3332691354535</v>
      </c>
      <c r="E286" s="17">
        <f>SQRT(D286*D285)</f>
        <v>8233.3620132234046</v>
      </c>
      <c r="F286" s="24">
        <f>E286/$E$507</f>
        <v>5.3604311465516435E-11</v>
      </c>
      <c r="G286" s="24">
        <f>E286/$E$753</f>
        <v>1.4796212239012776E-11</v>
      </c>
    </row>
    <row r="287" spans="1:7" hidden="1" x14ac:dyDescent="0.2">
      <c r="A287" s="5">
        <v>30560</v>
      </c>
      <c r="B287" s="26">
        <f>INPC!B55</f>
        <v>11.27</v>
      </c>
      <c r="C287" s="17">
        <f>C286*(1+B287/100)</f>
        <v>9601.8591285670191</v>
      </c>
      <c r="D287" s="17">
        <f>IF(A287&lt;$D$1,C287,C287*1.2225)</f>
        <v>9601.8591285670191</v>
      </c>
      <c r="E287" s="17">
        <f>SQRT(D287*D286)</f>
        <v>9102.6173391885113</v>
      </c>
      <c r="F287" s="24">
        <f>E287/$E$507</f>
        <v>5.9263704695312012E-11</v>
      </c>
      <c r="G287" s="24">
        <f>E287/$E$753</f>
        <v>1.6358354930202002E-11</v>
      </c>
    </row>
    <row r="288" spans="1:7" hidden="1" x14ac:dyDescent="0.2">
      <c r="A288" s="5">
        <v>30590</v>
      </c>
      <c r="B288" s="26">
        <f>INPC!B56</f>
        <v>10.1</v>
      </c>
      <c r="C288" s="17">
        <f>C287*(1+B288/100)</f>
        <v>10571.646900552289</v>
      </c>
      <c r="D288" s="17">
        <f>IF(A288&lt;$D$1,C288,C288*1.2225)</f>
        <v>10571.646900552289</v>
      </c>
      <c r="E288" s="17">
        <f>SQRT(D288*D287)</f>
        <v>10075.091279787754</v>
      </c>
      <c r="F288" s="24">
        <f>E288/$E$507</f>
        <v>6.5595115353589522E-11</v>
      </c>
      <c r="G288" s="24">
        <f>E288/$E$753</f>
        <v>1.8105992262182032E-11</v>
      </c>
    </row>
    <row r="289" spans="1:7" hidden="1" x14ac:dyDescent="0.2">
      <c r="A289" s="4">
        <v>30621</v>
      </c>
      <c r="B289" s="26">
        <f>INPC!B57</f>
        <v>7.37</v>
      </c>
      <c r="C289" s="17">
        <f>C288*(1+B289/100)</f>
        <v>11350.777277122994</v>
      </c>
      <c r="D289" s="17">
        <f>IF(A289&lt;$D$1,C289,C289*1.2225)</f>
        <v>11350.777277122994</v>
      </c>
      <c r="E289" s="17">
        <f>SQRT(D289*D288)</f>
        <v>10954.287262097732</v>
      </c>
      <c r="F289" s="24">
        <f>E289/$E$507</f>
        <v>7.131922844363494E-11</v>
      </c>
      <c r="G289" s="24">
        <f>E289/$E$753</f>
        <v>1.9685999352001804E-11</v>
      </c>
    </row>
    <row r="290" spans="1:7" hidden="1" x14ac:dyDescent="0.2">
      <c r="A290" s="5">
        <v>30651</v>
      </c>
      <c r="B290" s="26">
        <f>INPC!B58</f>
        <v>8.34</v>
      </c>
      <c r="C290" s="17">
        <f>C289*(1+B290/100)</f>
        <v>12297.432102035051</v>
      </c>
      <c r="D290" s="17">
        <f>IF(A290&lt;$D$1,C290,C290*1.2225)</f>
        <v>12297.432102035051</v>
      </c>
      <c r="E290" s="17">
        <f>SQRT(D290*D289)</f>
        <v>11814.627072859403</v>
      </c>
      <c r="F290" s="24">
        <f>E290/$E$507</f>
        <v>7.692057612009847E-11</v>
      </c>
      <c r="G290" s="24">
        <f>E290/$E$753</f>
        <v>2.1232119930358103E-11</v>
      </c>
    </row>
    <row r="291" spans="1:7" hidden="1" x14ac:dyDescent="0.2">
      <c r="A291" s="5">
        <v>30682</v>
      </c>
      <c r="B291" s="26">
        <f>INPC!B59</f>
        <v>9.39</v>
      </c>
      <c r="C291" s="17">
        <f>C290*(1+B291/100)</f>
        <v>13452.160976416144</v>
      </c>
      <c r="D291" s="17">
        <f>IF(A291&lt;$D$1,C291,C291*1.2225)</f>
        <v>13452.160976416144</v>
      </c>
      <c r="E291" s="17">
        <f>SQRT(D291*D290)</f>
        <v>12861.844200312918</v>
      </c>
      <c r="F291" s="24">
        <f>E291/$E$507</f>
        <v>8.3738611447815634E-11</v>
      </c>
      <c r="G291" s="24">
        <f>E291/$E$753</f>
        <v>2.3114078582637163E-11</v>
      </c>
    </row>
    <row r="292" spans="1:7" hidden="1" x14ac:dyDescent="0.2">
      <c r="A292" s="5">
        <v>30713</v>
      </c>
      <c r="B292" s="26">
        <f>INPC!B60</f>
        <v>9.74</v>
      </c>
      <c r="C292" s="17">
        <f>C291*(1+B292/100)</f>
        <v>14762.401455519075</v>
      </c>
      <c r="D292" s="17">
        <f>IF(A292&lt;$D$1,C292,C292*1.2225)</f>
        <v>14762.401455519075</v>
      </c>
      <c r="E292" s="17">
        <f>SQRT(D292*D291)</f>
        <v>14092.061622705265</v>
      </c>
      <c r="F292" s="24">
        <f>E292/$E$507</f>
        <v>9.1748092601967679E-11</v>
      </c>
      <c r="G292" s="24">
        <f>E292/$E$753</f>
        <v>2.5324907895451746E-11</v>
      </c>
    </row>
    <row r="293" spans="1:7" hidden="1" x14ac:dyDescent="0.2">
      <c r="A293" s="4">
        <v>30742</v>
      </c>
      <c r="B293" s="26">
        <f>INPC!B61</f>
        <v>9.83</v>
      </c>
      <c r="C293" s="17">
        <f>C292*(1+B293/100)</f>
        <v>16213.5455185966</v>
      </c>
      <c r="D293" s="17">
        <f>IF(A293&lt;$D$1,C293,C293*1.2225)</f>
        <v>16213.5455185966</v>
      </c>
      <c r="E293" s="17">
        <f>SQRT(D293*D292)</f>
        <v>15470.968552836477</v>
      </c>
      <c r="F293" s="24">
        <f>E293/$E$507</f>
        <v>1.0072563500153652E-10</v>
      </c>
      <c r="G293" s="24">
        <f>E293/$E$753</f>
        <v>2.780294779741389E-11</v>
      </c>
    </row>
    <row r="294" spans="1:7" hidden="1" x14ac:dyDescent="0.2">
      <c r="A294" s="5">
        <v>30773</v>
      </c>
      <c r="B294" s="26">
        <f>INPC!B62</f>
        <v>9.52</v>
      </c>
      <c r="C294" s="17">
        <f>C293*(1+B294/100)</f>
        <v>17757.075051966996</v>
      </c>
      <c r="D294" s="17">
        <f>IF(A294&lt;$D$1,C294,C294*1.2225)</f>
        <v>17757.075051966996</v>
      </c>
      <c r="E294" s="17">
        <f>SQRT(D294*D293)</f>
        <v>16967.767815249092</v>
      </c>
      <c r="F294" s="24">
        <f>E294/$E$507</f>
        <v>1.1047072986495412E-10</v>
      </c>
      <c r="G294" s="24">
        <f>E294/$E$753</f>
        <v>3.0492852544743736E-11</v>
      </c>
    </row>
    <row r="295" spans="1:7" hidden="1" x14ac:dyDescent="0.2">
      <c r="A295" s="5">
        <v>30803</v>
      </c>
      <c r="B295" s="26">
        <f>INPC!B63</f>
        <v>8.7100000000000009</v>
      </c>
      <c r="C295" s="17">
        <f>C294*(1+B295/100)</f>
        <v>19303.716288993321</v>
      </c>
      <c r="D295" s="17">
        <f>IF(A295&lt;$D$1,C295,C295*1.2225)</f>
        <v>19303.716288993321</v>
      </c>
      <c r="E295" s="17">
        <f>SQRT(D295*D294)</f>
        <v>18514.252318836217</v>
      </c>
      <c r="F295" s="24">
        <f>E295/$E$507</f>
        <v>1.2053930657441229E-10</v>
      </c>
      <c r="G295" s="24">
        <f>E295/$E$753</f>
        <v>3.3272046864472296E-11</v>
      </c>
    </row>
    <row r="296" spans="1:7" hidden="1" x14ac:dyDescent="0.2">
      <c r="A296" s="5">
        <v>30834</v>
      </c>
      <c r="B296" s="26">
        <f>INPC!B64</f>
        <v>9.9600000000000009</v>
      </c>
      <c r="C296" s="17">
        <f>C295*(1+B296/100)</f>
        <v>21226.366431377053</v>
      </c>
      <c r="D296" s="17">
        <f>IF(A296&lt;$D$1,C296,C296*1.2225)</f>
        <v>21226.366431377053</v>
      </c>
      <c r="E296" s="17">
        <f>SQRT(D296*D295)</f>
        <v>20242.227037495511</v>
      </c>
      <c r="F296" s="24">
        <f>E296/$E$507</f>
        <v>1.3178949755044192E-10</v>
      </c>
      <c r="G296" s="24">
        <f>E296/$E$753</f>
        <v>3.6377398073354886E-11</v>
      </c>
    </row>
    <row r="297" spans="1:7" hidden="1" x14ac:dyDescent="0.2">
      <c r="A297" s="4">
        <v>30864</v>
      </c>
      <c r="B297" s="26">
        <f>INPC!B65</f>
        <v>9.11</v>
      </c>
      <c r="C297" s="17">
        <f>C296*(1+B297/100)</f>
        <v>23160.088413275502</v>
      </c>
      <c r="D297" s="17">
        <f>IF(A297&lt;$D$1,C297,C297*1.2225)</f>
        <v>23160.088413275502</v>
      </c>
      <c r="E297" s="17">
        <f>SQRT(D297*D296)</f>
        <v>22172.156486081272</v>
      </c>
      <c r="F297" s="24">
        <f>E297/$E$507</f>
        <v>1.4435453952264121E-10</v>
      </c>
      <c r="G297" s="24">
        <f>E297/$E$753</f>
        <v>3.9845683043909234E-11</v>
      </c>
    </row>
    <row r="298" spans="1:7" hidden="1" x14ac:dyDescent="0.2">
      <c r="A298" s="5">
        <v>30895</v>
      </c>
      <c r="B298" s="26">
        <f>INPC!B66</f>
        <v>8.57</v>
      </c>
      <c r="C298" s="17">
        <f>C297*(1+B298/100)</f>
        <v>25144.907990293214</v>
      </c>
      <c r="D298" s="17">
        <f>IF(A298&lt;$D$1,C298,C298*1.2225)</f>
        <v>25144.907990293214</v>
      </c>
      <c r="E298" s="17">
        <f>SQRT(D298*D297)</f>
        <v>24132.100865835706</v>
      </c>
      <c r="F298" s="24">
        <f>E298/$E$507</f>
        <v>1.5711499737918977E-10</v>
      </c>
      <c r="G298" s="24">
        <f>E298/$E$753</f>
        <v>4.3367907983482045E-11</v>
      </c>
    </row>
    <row r="299" spans="1:7" hidden="1" x14ac:dyDescent="0.2">
      <c r="A299" s="5">
        <v>30926</v>
      </c>
      <c r="B299" s="26">
        <f>INPC!B67</f>
        <v>11.1</v>
      </c>
      <c r="C299" s="17">
        <f>C298*(1+B299/100)</f>
        <v>27935.992777215761</v>
      </c>
      <c r="D299" s="17">
        <f>IF(A299&lt;$D$1,C299,C299*1.2225)</f>
        <v>27935.992777215761</v>
      </c>
      <c r="E299" s="17">
        <f>SQRT(D299*D298)</f>
        <v>26503.73498208481</v>
      </c>
      <c r="F299" s="24">
        <f>E299/$E$507</f>
        <v>1.7255581167175722E-10</v>
      </c>
      <c r="G299" s="24">
        <f>E299/$E$753</f>
        <v>4.7629982416860065E-11</v>
      </c>
    </row>
    <row r="300" spans="1:7" hidden="1" x14ac:dyDescent="0.2">
      <c r="A300" s="5">
        <v>30956</v>
      </c>
      <c r="B300" s="26">
        <f>INPC!B68</f>
        <v>10.49</v>
      </c>
      <c r="C300" s="17">
        <f>C299*(1+B300/100)</f>
        <v>30866.478419545692</v>
      </c>
      <c r="D300" s="17">
        <f>IF(A300&lt;$D$1,C300,C300*1.2225)</f>
        <v>30866.478419545692</v>
      </c>
      <c r="E300" s="17">
        <f>SQRT(D300*D299)</f>
        <v>29364.70190869498</v>
      </c>
      <c r="F300" s="24">
        <f>E300/$E$507</f>
        <v>1.911824871392327E-10</v>
      </c>
      <c r="G300" s="24">
        <f>E300/$E$753</f>
        <v>5.2771439064452213E-11</v>
      </c>
    </row>
    <row r="301" spans="1:7" hidden="1" x14ac:dyDescent="0.2">
      <c r="A301" s="4">
        <v>30987</v>
      </c>
      <c r="B301" s="26">
        <f>INPC!B69</f>
        <v>10.33</v>
      </c>
      <c r="C301" s="17">
        <f>C300*(1+B301/100)</f>
        <v>34054.985640284758</v>
      </c>
      <c r="D301" s="17">
        <f>IF(A301&lt;$D$1,C301,C301*1.2225)</f>
        <v>34054.985640284758</v>
      </c>
      <c r="E301" s="17">
        <f>SQRT(D301*D300)</f>
        <v>32421.558866652107</v>
      </c>
      <c r="F301" s="24">
        <f>E301/$E$507</f>
        <v>2.1108452864022491E-10</v>
      </c>
      <c r="G301" s="24">
        <f>E301/$E$753</f>
        <v>5.8264930576375771E-11</v>
      </c>
    </row>
    <row r="302" spans="1:7" hidden="1" x14ac:dyDescent="0.2">
      <c r="A302" s="5">
        <v>31017</v>
      </c>
      <c r="B302" s="26">
        <f>INPC!B70</f>
        <v>11.62</v>
      </c>
      <c r="C302" s="17">
        <f>C301*(1+B302/100)</f>
        <v>38012.174971685847</v>
      </c>
      <c r="D302" s="17">
        <f>IF(A302&lt;$D$1,C302,C302*1.2225)</f>
        <v>38012.174971685847</v>
      </c>
      <c r="E302" s="17">
        <f>SQRT(D302*D301)</f>
        <v>35979.217234630785</v>
      </c>
      <c r="F302" s="24">
        <f>E302/$E$507</f>
        <v>2.3424709903840998E-10</v>
      </c>
      <c r="G302" s="24">
        <f>E302/$E$753</f>
        <v>6.4658414575010675E-11</v>
      </c>
    </row>
    <row r="303" spans="1:7" hidden="1" x14ac:dyDescent="0.2">
      <c r="A303" s="5">
        <v>31048</v>
      </c>
      <c r="B303" s="26">
        <f>INPC!B71</f>
        <v>11.84</v>
      </c>
      <c r="C303" s="17">
        <f>C302*(1+B303/100)</f>
        <v>42512.816488333454</v>
      </c>
      <c r="D303" s="17">
        <f>IF(A303&lt;$D$1,C303,C303*1.2225)</f>
        <v>42512.816488333454</v>
      </c>
      <c r="E303" s="17">
        <f>SQRT(D303*D302)</f>
        <v>40199.559934080149</v>
      </c>
      <c r="F303" s="24">
        <f>E303/$E$507</f>
        <v>2.6172415691454391E-10</v>
      </c>
      <c r="G303" s="24">
        <f>E303/$E$753</f>
        <v>7.2242811593158229E-11</v>
      </c>
    </row>
    <row r="304" spans="1:7" hidden="1" x14ac:dyDescent="0.2">
      <c r="A304" s="4">
        <v>31079</v>
      </c>
      <c r="B304" s="26">
        <f>INPC!B72</f>
        <v>10.95</v>
      </c>
      <c r="C304" s="17">
        <f>C303*(1+B304/100)</f>
        <v>47167.969893805966</v>
      </c>
      <c r="D304" s="17">
        <f>IF(A304&lt;$D$1,C304,C304*1.2225)</f>
        <v>47167.969893805966</v>
      </c>
      <c r="E304" s="17">
        <f>SQRT(D304*D303)</f>
        <v>44779.942476767545</v>
      </c>
      <c r="F304" s="24">
        <f>E304/$E$507</f>
        <v>2.9154529827272693E-10</v>
      </c>
      <c r="G304" s="24">
        <f>E304/$E$753</f>
        <v>8.0474237847539393E-11</v>
      </c>
    </row>
    <row r="305" spans="1:7" hidden="1" x14ac:dyDescent="0.2">
      <c r="A305" s="5">
        <v>31107</v>
      </c>
      <c r="B305" s="26">
        <f>INPC!B73</f>
        <v>9.94</v>
      </c>
      <c r="C305" s="17">
        <f>C304*(1+B305/100)</f>
        <v>51856.466101250277</v>
      </c>
      <c r="D305" s="17">
        <f>IF(A305&lt;$D$1,C305,C305*1.2225)</f>
        <v>51856.466101250277</v>
      </c>
      <c r="E305" s="17">
        <f>SQRT(D305*D304)</f>
        <v>49456.690466133528</v>
      </c>
      <c r="F305" s="24">
        <f>E305/$E$507</f>
        <v>3.2199383867032736E-10</v>
      </c>
      <c r="G305" s="24">
        <f>E305/$E$753</f>
        <v>8.8878842883477063E-11</v>
      </c>
    </row>
    <row r="306" spans="1:7" hidden="1" x14ac:dyDescent="0.2">
      <c r="A306" s="5">
        <v>31138</v>
      </c>
      <c r="B306" s="26">
        <f>INPC!B74</f>
        <v>8.58</v>
      </c>
      <c r="C306" s="17">
        <f>C305*(1+B306/100)</f>
        <v>56305.750892737553</v>
      </c>
      <c r="D306" s="17">
        <f>IF(A306&lt;$D$1,C306,C306*1.2225)</f>
        <v>56305.750892737553</v>
      </c>
      <c r="E306" s="17">
        <f>SQRT(D306*D305)</f>
        <v>54035.333463158044</v>
      </c>
      <c r="F306" s="24">
        <f>E306/$E$507</f>
        <v>3.5180365450348526E-10</v>
      </c>
      <c r="G306" s="24">
        <f>E306/$E$753</f>
        <v>9.7107142992452972E-11</v>
      </c>
    </row>
    <row r="307" spans="1:7" hidden="1" x14ac:dyDescent="0.2">
      <c r="A307" s="5">
        <v>31168</v>
      </c>
      <c r="B307" s="26">
        <f>INPC!B75</f>
        <v>7.2</v>
      </c>
      <c r="C307" s="17">
        <f>C306*(1+B307/100)</f>
        <v>60359.76495701466</v>
      </c>
      <c r="D307" s="17">
        <f>IF(A307&lt;$D$1,C307,C307*1.2225)</f>
        <v>60359.76495701466</v>
      </c>
      <c r="E307" s="17">
        <f>SQRT(D307*D306)</f>
        <v>58297.529018079811</v>
      </c>
      <c r="F307" s="24">
        <f>E307/$E$507</f>
        <v>3.7955320051956262E-10</v>
      </c>
      <c r="G307" s="24">
        <f>E307/$E$753</f>
        <v>1.0476675396710867E-10</v>
      </c>
    </row>
    <row r="308" spans="1:7" hidden="1" x14ac:dyDescent="0.2">
      <c r="A308" s="4">
        <v>31199</v>
      </c>
      <c r="B308" s="26">
        <f>INPC!B76</f>
        <v>8.33</v>
      </c>
      <c r="C308" s="17">
        <f>C307*(1+B308/100)</f>
        <v>65387.733377933975</v>
      </c>
      <c r="D308" s="17">
        <f>IF(A308&lt;$D$1,C308,C308*1.2225)</f>
        <v>65387.733377933975</v>
      </c>
      <c r="E308" s="17">
        <f>SQRT(D308*D307)</f>
        <v>62823.468686184759</v>
      </c>
      <c r="F308" s="24">
        <f>E308/$E$507</f>
        <v>4.0901988487688637E-10</v>
      </c>
      <c r="G308" s="24">
        <f>E308/$E$753</f>
        <v>1.1290034068450238E-10</v>
      </c>
    </row>
    <row r="309" spans="1:7" hidden="1" x14ac:dyDescent="0.2">
      <c r="A309" s="5">
        <v>31229</v>
      </c>
      <c r="B309" s="26">
        <f>INPC!B77</f>
        <v>10.08</v>
      </c>
      <c r="C309" s="17">
        <f>C308*(1+B309/100)</f>
        <v>71978.816902429724</v>
      </c>
      <c r="D309" s="17">
        <f>IF(A309&lt;$D$1,C309,C309*1.2225)</f>
        <v>71978.816902429724</v>
      </c>
      <c r="E309" s="17">
        <f>SQRT(D309*D308)</f>
        <v>68604.166699080335</v>
      </c>
      <c r="F309" s="24">
        <f>E309/$E$507</f>
        <v>4.4665582706838373E-10</v>
      </c>
      <c r="G309" s="24">
        <f>E309/$E$753</f>
        <v>1.2328885931772546E-10</v>
      </c>
    </row>
    <row r="310" spans="1:7" hidden="1" x14ac:dyDescent="0.2">
      <c r="A310" s="5">
        <v>31260</v>
      </c>
      <c r="B310" s="26">
        <f>INPC!B78</f>
        <v>11.61</v>
      </c>
      <c r="C310" s="17">
        <f>C309*(1+B310/100)</f>
        <v>80335.557544801821</v>
      </c>
      <c r="D310" s="17">
        <f>IF(A310&lt;$D$1,C310,C310*1.2225)</f>
        <v>80335.557544801821</v>
      </c>
      <c r="E310" s="17">
        <f>SQRT(D310*D309)</f>
        <v>76042.477519291133</v>
      </c>
      <c r="F310" s="24">
        <f>E310/$E$507</f>
        <v>4.9508386039711591E-10</v>
      </c>
      <c r="G310" s="24">
        <f>E310/$E$753</f>
        <v>1.3665628144963479E-10</v>
      </c>
    </row>
    <row r="311" spans="1:7" hidden="1" x14ac:dyDescent="0.2">
      <c r="A311" s="5">
        <v>31291</v>
      </c>
      <c r="B311" s="26">
        <f>INPC!B79</f>
        <v>10.09</v>
      </c>
      <c r="C311" s="17">
        <f>C310*(1+B311/100)</f>
        <v>88441.415301072324</v>
      </c>
      <c r="D311" s="17">
        <f>IF(A311&lt;$D$1,C311,C311*1.2225)</f>
        <v>88441.415301072324</v>
      </c>
      <c r="E311" s="17">
        <f>SQRT(D311*D310)</f>
        <v>84291.105155069672</v>
      </c>
      <c r="F311" s="24">
        <f>E311/$E$507</f>
        <v>5.4878756056737364E-10</v>
      </c>
      <c r="G311" s="24">
        <f>E311/$E$753</f>
        <v>1.514799276082206E-10</v>
      </c>
    </row>
    <row r="312" spans="1:7" hidden="1" x14ac:dyDescent="0.2">
      <c r="A312" s="4">
        <v>31321</v>
      </c>
      <c r="B312" s="26">
        <f>INPC!B80</f>
        <v>10.25</v>
      </c>
      <c r="C312" s="17">
        <f>C311*(1+B312/100)</f>
        <v>97506.66036943224</v>
      </c>
      <c r="D312" s="17">
        <f>IF(A312&lt;$D$1,C312,C312*1.2225)</f>
        <v>97506.66036943224</v>
      </c>
      <c r="E312" s="17">
        <f>SQRT(D312*D311)</f>
        <v>92863.486066125944</v>
      </c>
      <c r="F312" s="24">
        <f>E312/$E$507</f>
        <v>6.0459909607611107E-10</v>
      </c>
      <c r="G312" s="24">
        <f>E312/$E$753</f>
        <v>1.6688539224708108E-10</v>
      </c>
    </row>
    <row r="313" spans="1:7" hidden="1" x14ac:dyDescent="0.2">
      <c r="A313" s="5">
        <v>31352</v>
      </c>
      <c r="B313" s="26">
        <f>INPC!B81</f>
        <v>14.18</v>
      </c>
      <c r="C313" s="17">
        <f>C312*(1+B313/100)</f>
        <v>111333.10480981773</v>
      </c>
      <c r="D313" s="17">
        <f>IF(A313&lt;$D$1,C313,C313*1.2225)</f>
        <v>111333.10480981773</v>
      </c>
      <c r="E313" s="17">
        <f>SQRT(D313*D312)</f>
        <v>104190.78288680482</v>
      </c>
      <c r="F313" s="24">
        <f>E313/$E$507</f>
        <v>6.7834684892152561E-10</v>
      </c>
      <c r="G313" s="24">
        <f>E313/$E$753</f>
        <v>1.8724172876961942E-10</v>
      </c>
    </row>
    <row r="314" spans="1:7" hidden="1" x14ac:dyDescent="0.2">
      <c r="A314" s="5">
        <v>31382</v>
      </c>
      <c r="B314" s="26">
        <f>INPC!B82</f>
        <v>15.75</v>
      </c>
      <c r="C314" s="17">
        <f>C313*(1+B314/100)</f>
        <v>128868.06881736402</v>
      </c>
      <c r="D314" s="17">
        <f>IF(A314&lt;$D$1,C314,C314*1.2225)</f>
        <v>128868.06881736402</v>
      </c>
      <c r="E314" s="17">
        <f>SQRT(D314*D313)</f>
        <v>119780.14114318948</v>
      </c>
      <c r="F314" s="24">
        <f>E314/$E$507</f>
        <v>7.7984327458344051E-10</v>
      </c>
      <c r="G314" s="24">
        <f>E314/$E$753</f>
        <v>2.1525743524056171E-10</v>
      </c>
    </row>
    <row r="315" spans="1:7" hidden="1" x14ac:dyDescent="0.2">
      <c r="A315" s="5">
        <v>31413</v>
      </c>
      <c r="B315" s="26">
        <f>INPC!B83</f>
        <v>15.01</v>
      </c>
      <c r="C315" s="17">
        <f>C314*(1+B315/100)</f>
        <v>148211.16594685038</v>
      </c>
      <c r="D315" s="17">
        <f>IF(A315&lt;$D$1,C315,C315*1.2225)</f>
        <v>148211.16594685038</v>
      </c>
      <c r="E315" s="17">
        <f>SQRT(D315*D314)</f>
        <v>138201.616245037</v>
      </c>
      <c r="F315" s="24">
        <f>E315/$E$507</f>
        <v>8.9977854372716797E-10</v>
      </c>
      <c r="G315" s="24">
        <f>E315/$E$753</f>
        <v>2.4836275174733752E-10</v>
      </c>
    </row>
    <row r="316" spans="1:7" hidden="1" x14ac:dyDescent="0.2">
      <c r="A316" s="4">
        <v>31444</v>
      </c>
      <c r="B316" s="26">
        <f>INPC!B84</f>
        <v>12.46</v>
      </c>
      <c r="C316" s="17">
        <f>C315*(1+B316/100)</f>
        <v>166678.27722382793</v>
      </c>
      <c r="D316" s="17">
        <f>IF(A316&lt;$D$1,C316,C316*1.2225)</f>
        <v>166678.27722382793</v>
      </c>
      <c r="E316" s="17">
        <f>SQRT(D316*D315)</f>
        <v>157173.73128279386</v>
      </c>
      <c r="F316" s="24">
        <f>E316/$E$507</f>
        <v>1.0232988215930226E-9</v>
      </c>
      <c r="G316" s="24">
        <f>E316/$E$753</f>
        <v>2.8245762578187722E-10</v>
      </c>
    </row>
    <row r="317" spans="1:7" hidden="1" x14ac:dyDescent="0.2">
      <c r="A317" s="5">
        <v>31472</v>
      </c>
      <c r="B317" s="26">
        <f>INPC!B85</f>
        <v>3.18</v>
      </c>
      <c r="C317" s="17">
        <f>C316*(1+B317/100)</f>
        <v>171978.64643954567</v>
      </c>
      <c r="D317" s="17">
        <f>IF(A317&lt;$D$1,C317,C317*1.2225)</f>
        <v>171978.64643954567</v>
      </c>
      <c r="E317" s="17">
        <f>SQRT(D317*D316)</f>
        <v>169307.72134734222</v>
      </c>
      <c r="F317" s="24">
        <f>E317/$E$507</f>
        <v>1.1022986495727573E-9</v>
      </c>
      <c r="G317" s="24">
        <f>E317/$E$753</f>
        <v>3.0426367439394842E-10</v>
      </c>
    </row>
    <row r="318" spans="1:7" hidden="1" x14ac:dyDescent="0.2">
      <c r="A318" s="5">
        <v>31503</v>
      </c>
      <c r="B318" s="26">
        <f>INPC!B86</f>
        <v>0.43</v>
      </c>
      <c r="C318" s="17">
        <f>C317*(1+B318/100)</f>
        <v>172718.15461923572</v>
      </c>
      <c r="D318" s="17">
        <f>IF(A318&lt;$D$1,C318,C318*1.2225)</f>
        <v>172718.15461923572</v>
      </c>
      <c r="E318" s="17">
        <f>SQRT(D318*D317)</f>
        <v>172348.00389604841</v>
      </c>
      <c r="F318" s="24">
        <f>E318/$E$507</f>
        <v>1.1220927813529796E-9</v>
      </c>
      <c r="G318" s="24">
        <f>E318/$E$753</f>
        <v>3.0972737995978831E-10</v>
      </c>
    </row>
    <row r="319" spans="1:7" hidden="1" x14ac:dyDescent="0.2">
      <c r="A319" s="4">
        <v>31533</v>
      </c>
      <c r="B319" s="26">
        <f>INPC!B87</f>
        <v>1.08</v>
      </c>
      <c r="C319" s="17">
        <f>C318*(1+B319/100)</f>
        <v>174583.51068912345</v>
      </c>
      <c r="D319" s="17">
        <f>IF(A319&lt;$D$1,C319,C319*1.2225)</f>
        <v>174583.51068912345</v>
      </c>
      <c r="E319" s="17">
        <f>SQRT(D319*D318)</f>
        <v>173648.32793082984</v>
      </c>
      <c r="F319" s="24">
        <f>E319/$E$507</f>
        <v>1.1305587001908217E-9</v>
      </c>
      <c r="G319" s="24">
        <f>E319/$E$753</f>
        <v>3.1206419818388857E-10</v>
      </c>
    </row>
    <row r="320" spans="1:7" hidden="1" x14ac:dyDescent="0.2">
      <c r="A320" s="5">
        <v>31564</v>
      </c>
      <c r="B320" s="26">
        <f>INPC!B88</f>
        <v>0.97</v>
      </c>
      <c r="C320" s="17">
        <f>C319*(1+B320/100)</f>
        <v>176276.97074280796</v>
      </c>
      <c r="D320" s="17">
        <f>IF(A320&lt;$D$1,C320,C320*1.2225)</f>
        <v>176276.97074280796</v>
      </c>
      <c r="E320" s="17">
        <f>SQRT(D320*D319)</f>
        <v>175428.19729428709</v>
      </c>
      <c r="F320" s="24">
        <f>E320/$E$507</f>
        <v>1.1421467576056979E-9</v>
      </c>
      <c r="G320" s="24">
        <f>E320/$E$753</f>
        <v>3.1526280949444842E-10</v>
      </c>
    </row>
    <row r="321" spans="1:7" hidden="1" x14ac:dyDescent="0.2">
      <c r="A321" s="5">
        <v>31594</v>
      </c>
      <c r="B321" s="26">
        <f>INPC!B89</f>
        <v>0.91</v>
      </c>
      <c r="C321" s="17">
        <f>C320*(1+B321/100)</f>
        <v>177881.09117656754</v>
      </c>
      <c r="D321" s="17">
        <f>IF(A321&lt;$D$1,C321,C321*1.2225)</f>
        <v>177881.09117656754</v>
      </c>
      <c r="E321" s="17">
        <f>SQRT(D321*D320)</f>
        <v>177077.21452809943</v>
      </c>
      <c r="F321" s="24">
        <f>E321/$E$507</f>
        <v>1.1528828862092152E-9</v>
      </c>
      <c r="G321" s="24">
        <f>E321/$E$753</f>
        <v>3.1822626584898381E-10</v>
      </c>
    </row>
    <row r="322" spans="1:7" hidden="1" x14ac:dyDescent="0.2">
      <c r="A322" s="5">
        <v>31625</v>
      </c>
      <c r="B322" s="26">
        <f>INPC!B90</f>
        <v>1.43</v>
      </c>
      <c r="C322" s="17">
        <f>C321*(1+B322/100)</f>
        <v>180424.79078039245</v>
      </c>
      <c r="D322" s="17">
        <f>IF(A322&lt;$D$1,C322,C322*1.2225)</f>
        <v>180424.79078039245</v>
      </c>
      <c r="E322" s="17">
        <f>SQRT(D322*D321)</f>
        <v>179148.42633782778</v>
      </c>
      <c r="F322" s="24">
        <f>E322/$E$507</f>
        <v>1.1663677642919982E-9</v>
      </c>
      <c r="G322" s="24">
        <f>E322/$E$753</f>
        <v>3.219484499919221E-10</v>
      </c>
    </row>
    <row r="323" spans="1:7" hidden="1" x14ac:dyDescent="0.2">
      <c r="A323" s="4">
        <v>31656</v>
      </c>
      <c r="B323" s="26">
        <f>INPC!B91</f>
        <v>1.19</v>
      </c>
      <c r="C323" s="17">
        <f>C322*(1+B323/100)</f>
        <v>182571.84579067913</v>
      </c>
      <c r="D323" s="17">
        <f>IF(A323&lt;$D$1,C323,C323*1.2225)</f>
        <v>182571.84579067913</v>
      </c>
      <c r="E323" s="17">
        <f>SQRT(D323*D322)</f>
        <v>181495.14340382046</v>
      </c>
      <c r="F323" s="24">
        <f>E323/$E$507</f>
        <v>1.1816463530780712E-9</v>
      </c>
      <c r="G323" s="24">
        <f>E323/$E$753</f>
        <v>3.2616574588120449E-10</v>
      </c>
    </row>
    <row r="324" spans="1:7" hidden="1" x14ac:dyDescent="0.2">
      <c r="A324" s="5">
        <v>31686</v>
      </c>
      <c r="B324" s="26">
        <f>INPC!B92</f>
        <v>1.43</v>
      </c>
      <c r="C324" s="17">
        <f>C323*(1+B324/100)</f>
        <v>185182.62318548583</v>
      </c>
      <c r="D324" s="17">
        <f>IF(A324&lt;$D$1,C324,C324*1.2225)</f>
        <v>185182.62318548583</v>
      </c>
      <c r="E324" s="17">
        <f>SQRT(D324*D323)</f>
        <v>183872.60079558881</v>
      </c>
      <c r="F324" s="24">
        <f>E324/$E$507</f>
        <v>1.1971250805188982E-9</v>
      </c>
      <c r="G324" s="24">
        <f>E324/$E$753</f>
        <v>3.3043828534944561E-10</v>
      </c>
    </row>
    <row r="325" spans="1:7" hidden="1" x14ac:dyDescent="0.2">
      <c r="A325" s="5">
        <v>31717</v>
      </c>
      <c r="B325" s="26">
        <f>INPC!B93</f>
        <v>3.29</v>
      </c>
      <c r="C325" s="17">
        <f>C324*(1+B325/100)</f>
        <v>191275.13148828832</v>
      </c>
      <c r="D325" s="17">
        <f>IF(A325&lt;$D$1,C325,C325*1.2225)</f>
        <v>191275.13148828832</v>
      </c>
      <c r="E325" s="17">
        <f>SQRT(D325*D324)</f>
        <v>188204.22577389155</v>
      </c>
      <c r="F325" s="24">
        <f>E325/$E$507</f>
        <v>1.2253266552967145E-9</v>
      </c>
      <c r="G325" s="24">
        <f>E325/$E$753</f>
        <v>3.3822266825594727E-10</v>
      </c>
    </row>
    <row r="326" spans="1:7" hidden="1" x14ac:dyDescent="0.2">
      <c r="A326" s="5">
        <v>31747</v>
      </c>
      <c r="B326" s="26">
        <f>INPC!B94</f>
        <v>7.27</v>
      </c>
      <c r="C326" s="17">
        <f>C325*(1+B326/100)</f>
        <v>205180.83354748687</v>
      </c>
      <c r="D326" s="17">
        <f>IF(A326&lt;$D$1,C326,C326*1.2225)</f>
        <v>205180.83354748687</v>
      </c>
      <c r="E326" s="17">
        <f>SQRT(D326*D325)</f>
        <v>198106.00928712927</v>
      </c>
      <c r="F326" s="24">
        <f>E326/$E$507</f>
        <v>1.2897934292166806E-9</v>
      </c>
      <c r="G326" s="24">
        <f>E326/$E$753</f>
        <v>3.5601720834434843E-10</v>
      </c>
    </row>
    <row r="327" spans="1:7" hidden="1" x14ac:dyDescent="0.2">
      <c r="A327" s="4">
        <v>31778</v>
      </c>
      <c r="B327" s="26">
        <f>INPC!B95</f>
        <v>16.82</v>
      </c>
      <c r="C327" s="17">
        <f>C326*(1+B327/100)</f>
        <v>239692.24975017417</v>
      </c>
      <c r="D327" s="17">
        <f>IF(A327&lt;$D$1,C327,C327*1.2225)</f>
        <v>239692.24975017417</v>
      </c>
      <c r="E327" s="17">
        <f>SQRT(D327*D326)</f>
        <v>221766.21834403259</v>
      </c>
      <c r="F327" s="24">
        <f>E327/$E$507</f>
        <v>1.4438361171962094E-9</v>
      </c>
      <c r="G327" s="24">
        <f>E327/$E$753</f>
        <v>3.9853707741643543E-10</v>
      </c>
    </row>
    <row r="328" spans="1:7" hidden="1" x14ac:dyDescent="0.2">
      <c r="A328" s="5">
        <v>31809</v>
      </c>
      <c r="B328" s="26">
        <f>INPC!B96</f>
        <v>13.94</v>
      </c>
      <c r="C328" s="17">
        <f>C327*(1+B328/100)</f>
        <v>273105.34936534846</v>
      </c>
      <c r="D328" s="17">
        <f>IF(A328&lt;$D$1,C328,C328*1.2225)</f>
        <v>273105.34936534846</v>
      </c>
      <c r="E328" s="17">
        <f>SQRT(D328*D327)</f>
        <v>255853.93412685231</v>
      </c>
      <c r="F328" s="24">
        <f>E328/$E$507</f>
        <v>1.6657683644404785E-9</v>
      </c>
      <c r="G328" s="24">
        <f>E328/$E$753</f>
        <v>4.5979626614829136E-10</v>
      </c>
    </row>
    <row r="329" spans="1:7" hidden="1" x14ac:dyDescent="0.2">
      <c r="A329" s="5">
        <v>31837</v>
      </c>
      <c r="B329" s="26">
        <f>INPC!B97</f>
        <v>14.4</v>
      </c>
      <c r="C329" s="17">
        <f>C328*(1+B329/100)</f>
        <v>312432.51967395865</v>
      </c>
      <c r="D329" s="17">
        <f>IF(A329&lt;$D$1,C329,C329*1.2225)</f>
        <v>312432.51967395865</v>
      </c>
      <c r="E329" s="17">
        <f>SQRT(D329*D328)</f>
        <v>292107.84384992573</v>
      </c>
      <c r="F329" s="24">
        <f>E329/$E$507</f>
        <v>1.9018038825577613E-9</v>
      </c>
      <c r="G329" s="24">
        <f>E329/$E$753</f>
        <v>5.2494833184090528E-10</v>
      </c>
    </row>
    <row r="330" spans="1:7" hidden="1" x14ac:dyDescent="0.2">
      <c r="A330" s="5">
        <v>31868</v>
      </c>
      <c r="B330" s="26">
        <f>INPC!B98</f>
        <v>20.96</v>
      </c>
      <c r="C330" s="17">
        <f>C329*(1+B330/100)</f>
        <v>377918.37579762039</v>
      </c>
      <c r="D330" s="17">
        <f>IF(A330&lt;$D$1,C330,C330*1.2225)</f>
        <v>377918.37579762039</v>
      </c>
      <c r="E330" s="17">
        <f>SQRT(D330*D329)</f>
        <v>343618.96103320684</v>
      </c>
      <c r="F330" s="24">
        <f>E330/$E$507</f>
        <v>2.2371733179104871E-9</v>
      </c>
      <c r="G330" s="24">
        <f>E330/$E$753</f>
        <v>6.1751919430126873E-10</v>
      </c>
    </row>
    <row r="331" spans="1:7" hidden="1" x14ac:dyDescent="0.2">
      <c r="A331" s="4">
        <v>31898</v>
      </c>
      <c r="B331" s="26">
        <f>INPC!B99</f>
        <v>23.14</v>
      </c>
      <c r="C331" s="17">
        <f>C330*(1+B331/100)</f>
        <v>465368.68795718974</v>
      </c>
      <c r="D331" s="17">
        <f>IF(A331&lt;$D$1,C331,C331*1.2225)</f>
        <v>465368.68795718974</v>
      </c>
      <c r="E331" s="17">
        <f>SQRT(D331*D330)</f>
        <v>419370.21675346803</v>
      </c>
      <c r="F331" s="24">
        <f>E331/$E$507</f>
        <v>2.7303611431283319E-9</v>
      </c>
      <c r="G331" s="24">
        <f>E331/$E$753</f>
        <v>7.5365211973422978E-10</v>
      </c>
    </row>
    <row r="332" spans="1:7" hidden="1" x14ac:dyDescent="0.2">
      <c r="A332" s="5">
        <v>31929</v>
      </c>
      <c r="B332" s="26">
        <f>INPC!B100</f>
        <v>21.3</v>
      </c>
      <c r="C332" s="17">
        <f>C331*(1+B332/100)</f>
        <v>564492.21849207114</v>
      </c>
      <c r="D332" s="17">
        <f>IF(A332&lt;$D$1,C332,C332*1.2225)</f>
        <v>564492.21849207114</v>
      </c>
      <c r="E332" s="17">
        <f>SQRT(D332*D331)</f>
        <v>512539.75756198505</v>
      </c>
      <c r="F332" s="24">
        <f>E332/$E$507</f>
        <v>3.3369528460775867E-9</v>
      </c>
      <c r="G332" s="24">
        <f>E332/$E$753</f>
        <v>9.2108752434781452E-10</v>
      </c>
    </row>
    <row r="333" spans="1:7" hidden="1" x14ac:dyDescent="0.2">
      <c r="A333" s="5">
        <v>31959</v>
      </c>
      <c r="B333" s="26">
        <f>INPC!B101</f>
        <v>9.93</v>
      </c>
      <c r="C333" s="17">
        <f>C332*(1+B333/100)</f>
        <v>620546.29578833375</v>
      </c>
      <c r="D333" s="17">
        <f>IF(A333&lt;$D$1,C333,C333*1.2225)</f>
        <v>620546.29578833375</v>
      </c>
      <c r="E333" s="17">
        <f>SQRT(D333*D332)</f>
        <v>591856.02572466352</v>
      </c>
      <c r="F333" s="24">
        <f>E333/$E$507</f>
        <v>3.8533511212956682E-9</v>
      </c>
      <c r="G333" s="24">
        <f>E333/$E$753</f>
        <v>1.0636271498199587E-9</v>
      </c>
    </row>
    <row r="334" spans="1:7" hidden="1" x14ac:dyDescent="0.2">
      <c r="A334" s="4">
        <v>31990</v>
      </c>
      <c r="B334" s="26">
        <f>INPC!B102</f>
        <v>5.09</v>
      </c>
      <c r="C334" s="17">
        <f>C333*(1+B334/100)</f>
        <v>652132.1022439599</v>
      </c>
      <c r="D334" s="17">
        <f>IF(A334&lt;$D$1,C334,C334*1.2225)</f>
        <v>652132.1022439599</v>
      </c>
      <c r="E334" s="17">
        <f>SQRT(D334*D333)</f>
        <v>636143.19175178499</v>
      </c>
      <c r="F334" s="24">
        <f>E334/$E$507</f>
        <v>4.141688138158289E-9</v>
      </c>
      <c r="G334" s="24">
        <f>E334/$E$753</f>
        <v>1.1432158168734966E-9</v>
      </c>
    </row>
    <row r="335" spans="1:7" hidden="1" x14ac:dyDescent="0.2">
      <c r="A335" s="5">
        <v>32021</v>
      </c>
      <c r="B335" s="26">
        <f>INPC!B103</f>
        <v>7.15</v>
      </c>
      <c r="C335" s="17">
        <f>C334*(1+B335/100)</f>
        <v>698759.54755440296</v>
      </c>
      <c r="D335" s="17">
        <f>IF(A335&lt;$D$1,C335,C335*1.2225)</f>
        <v>698759.54755440296</v>
      </c>
      <c r="E335" s="17">
        <f>SQRT(D335*D334)</f>
        <v>675043.35617032123</v>
      </c>
      <c r="F335" s="24">
        <f>E335/$E$507</f>
        <v>4.3949524214731731E-9</v>
      </c>
      <c r="G335" s="24">
        <f>E335/$E$753</f>
        <v>1.2131234788886903E-9</v>
      </c>
    </row>
    <row r="336" spans="1:7" hidden="1" x14ac:dyDescent="0.2">
      <c r="A336" s="5">
        <v>32051</v>
      </c>
      <c r="B336" s="26">
        <f>INPC!B104</f>
        <v>10.88</v>
      </c>
      <c r="C336" s="17">
        <f>C335*(1+B336/100)</f>
        <v>774784.58632832195</v>
      </c>
      <c r="D336" s="17">
        <f>IF(A336&lt;$D$1,C336,C336*1.2225)</f>
        <v>774784.58632832195</v>
      </c>
      <c r="E336" s="17">
        <f>SQRT(D336*D335)</f>
        <v>735790.81741681416</v>
      </c>
      <c r="F336" s="24">
        <f>E336/$E$507</f>
        <v>4.7904562057312309E-9</v>
      </c>
      <c r="G336" s="24">
        <f>E336/$E$753</f>
        <v>1.3222930171818833E-9</v>
      </c>
    </row>
    <row r="337" spans="1:7" hidden="1" x14ac:dyDescent="0.2">
      <c r="A337" s="5">
        <v>32082</v>
      </c>
      <c r="B337" s="26">
        <f>INPC!B105</f>
        <v>14.93</v>
      </c>
      <c r="C337" s="17">
        <f>C336*(1+B337/100)</f>
        <v>890459.92506714037</v>
      </c>
      <c r="D337" s="17">
        <f>IF(A337&lt;$D$1,C337,C337*1.2225)</f>
        <v>890459.92506714037</v>
      </c>
      <c r="E337" s="17">
        <f>SQRT(D337*D336)</f>
        <v>830610.99480147322</v>
      </c>
      <c r="F337" s="24">
        <f>E337/$E$507</f>
        <v>5.4077945802105097E-9</v>
      </c>
      <c r="G337" s="24">
        <f>E337/$E$753</f>
        <v>1.492694788277453E-9</v>
      </c>
    </row>
    <row r="338" spans="1:7" hidden="1" x14ac:dyDescent="0.2">
      <c r="A338" s="4">
        <v>32112</v>
      </c>
      <c r="B338" s="26">
        <f>INPC!B106</f>
        <v>13.97</v>
      </c>
      <c r="C338" s="17">
        <f>C337*(1+B338/100)</f>
        <v>1014857.1765990198</v>
      </c>
      <c r="D338" s="17">
        <f>IF(A338&lt;$D$1,C338,C338*1.2225)</f>
        <v>1014857.1765990198</v>
      </c>
      <c r="E338" s="17">
        <f>SQRT(D338*D337)</f>
        <v>950625.92297297087</v>
      </c>
      <c r="F338" s="24">
        <f>E338/$E$507</f>
        <v>6.1891664644886633E-9</v>
      </c>
      <c r="G338" s="24">
        <f>E338/$E$753</f>
        <v>1.7083741603521096E-9</v>
      </c>
    </row>
    <row r="339" spans="1:7" hidden="1" x14ac:dyDescent="0.2">
      <c r="A339" s="5">
        <v>32143</v>
      </c>
      <c r="B339" s="26">
        <f>INPC!B107</f>
        <v>18.97</v>
      </c>
      <c r="C339" s="17">
        <f>C338*(1+B339/100)</f>
        <v>1207375.5829998539</v>
      </c>
      <c r="D339" s="17">
        <f>IF(A339&lt;$D$1,C339,C339*1.2225)</f>
        <v>1207375.5829998539</v>
      </c>
      <c r="E339" s="17">
        <f>SQRT(D339*D338)</f>
        <v>1106938.921195667</v>
      </c>
      <c r="F339" s="24">
        <f>E339/$E$507</f>
        <v>7.2068613781072714E-9</v>
      </c>
      <c r="G339" s="24">
        <f>E339/$E$753</f>
        <v>1.9892849588454641E-9</v>
      </c>
    </row>
    <row r="340" spans="1:7" hidden="1" x14ac:dyDescent="0.2">
      <c r="A340" s="5">
        <v>32174</v>
      </c>
      <c r="B340" s="26">
        <f>INPC!B108</f>
        <v>15.81</v>
      </c>
      <c r="C340" s="17">
        <f>C339*(1+B340/100)</f>
        <v>1398261.6626721309</v>
      </c>
      <c r="D340" s="17">
        <f>IF(A340&lt;$D$1,C340,C340*1.2225)</f>
        <v>1398261.6626721309</v>
      </c>
      <c r="E340" s="17">
        <f>SQRT(D340*D339)</f>
        <v>1299317.894187219</v>
      </c>
      <c r="F340" s="24">
        <f>E340/$E$507</f>
        <v>8.4593682363133014E-9</v>
      </c>
      <c r="G340" s="24">
        <f>E340/$E$753</f>
        <v>2.3350100842723123E-9</v>
      </c>
    </row>
    <row r="341" spans="1:7" hidden="1" x14ac:dyDescent="0.2">
      <c r="A341" s="5">
        <v>32203</v>
      </c>
      <c r="B341" s="26">
        <f>INPC!B109</f>
        <v>18.09</v>
      </c>
      <c r="C341" s="17">
        <f>C340*(1+B341/100)</f>
        <v>1651207.1974495193</v>
      </c>
      <c r="D341" s="17">
        <f>IF(A341&lt;$D$1,C341,C341*1.2225)</f>
        <v>1651207.1974495193</v>
      </c>
      <c r="E341" s="17">
        <f>SQRT(D341*D340)</f>
        <v>1519480.0825683614</v>
      </c>
      <c r="F341" s="24">
        <f>E341/$E$507</f>
        <v>9.8927611200414956E-9</v>
      </c>
      <c r="G341" s="24">
        <f>E341/$E$753</f>
        <v>2.7306645521629499E-9</v>
      </c>
    </row>
    <row r="342" spans="1:7" hidden="1" x14ac:dyDescent="0.2">
      <c r="A342" s="4">
        <v>32234</v>
      </c>
      <c r="B342" s="26">
        <f>INPC!B110</f>
        <v>18.329999999999998</v>
      </c>
      <c r="C342" s="17">
        <f>C341*(1+B342/100)</f>
        <v>1953873.4767420162</v>
      </c>
      <c r="D342" s="17">
        <f>IF(A342&lt;$D$1,C342,C342*1.2225)</f>
        <v>1953873.4767420162</v>
      </c>
      <c r="E342" s="17">
        <f>SQRT(D342*D341)</f>
        <v>1796176.4801104965</v>
      </c>
      <c r="F342" s="24">
        <f>E342/$E$507</f>
        <v>1.169422689446189E-8</v>
      </c>
      <c r="G342" s="24">
        <f>E342/$E$753</f>
        <v>3.2279169039031398E-9</v>
      </c>
    </row>
    <row r="343" spans="1:7" hidden="1" x14ac:dyDescent="0.2">
      <c r="A343" s="5">
        <v>32264</v>
      </c>
      <c r="B343" s="26">
        <f>INPC!B111</f>
        <v>18.239999999999998</v>
      </c>
      <c r="C343" s="17">
        <f>C342*(1+B343/100)</f>
        <v>2310259.9988997597</v>
      </c>
      <c r="D343" s="17">
        <f>IF(A343&lt;$D$1,C343,C343*1.2225)</f>
        <v>2310259.9988997597</v>
      </c>
      <c r="E343" s="17">
        <f>SQRT(D343*D342)</f>
        <v>2124607.1957489648</v>
      </c>
      <c r="F343" s="24">
        <f>E343/$E$507</f>
        <v>1.3832515281107767E-8</v>
      </c>
      <c r="G343" s="24">
        <f>E343/$E$753</f>
        <v>3.8181412334774811E-9</v>
      </c>
    </row>
    <row r="344" spans="1:7" hidden="1" x14ac:dyDescent="0.2">
      <c r="A344" s="5">
        <v>32295</v>
      </c>
      <c r="B344" s="26">
        <f>INPC!B112</f>
        <v>22.28</v>
      </c>
      <c r="C344" s="17">
        <f>C343*(1+B344/100)</f>
        <v>2824985.9266546261</v>
      </c>
      <c r="D344" s="17">
        <f>IF(A344&lt;$D$1,C344,C344*1.2225)</f>
        <v>2824985.9266546261</v>
      </c>
      <c r="E344" s="17">
        <f>SQRT(D344*D343)</f>
        <v>2554692.1504958193</v>
      </c>
      <c r="F344" s="24">
        <f>E344/$E$507</f>
        <v>1.6632636037835794E-8</v>
      </c>
      <c r="G344" s="24">
        <f>E344/$E$753</f>
        <v>4.5910488574857772E-9</v>
      </c>
    </row>
    <row r="345" spans="1:7" hidden="1" x14ac:dyDescent="0.2">
      <c r="A345" s="5">
        <v>32325</v>
      </c>
      <c r="B345" s="26">
        <f>INPC!B113</f>
        <v>23.02</v>
      </c>
      <c r="C345" s="17">
        <f>C344*(1+B345/100)</f>
        <v>3475297.6869705208</v>
      </c>
      <c r="D345" s="17">
        <f>IF(A345&lt;$D$1,C345,C345*1.2225)</f>
        <v>3475297.6869705208</v>
      </c>
      <c r="E345" s="17">
        <f>SQRT(D345*D344)</f>
        <v>3133315.6650147932</v>
      </c>
      <c r="F345" s="24">
        <f>E345/$E$507</f>
        <v>2.0399835274761323E-8</v>
      </c>
      <c r="G345" s="24">
        <f>E345/$E$753</f>
        <v>5.6308958013655569E-9</v>
      </c>
    </row>
    <row r="346" spans="1:7" hidden="1" x14ac:dyDescent="0.2">
      <c r="A346" s="4">
        <v>32356</v>
      </c>
      <c r="B346" s="26">
        <f>INPC!B114</f>
        <v>20.63</v>
      </c>
      <c r="C346" s="17">
        <f>C345*(1+B346/100)</f>
        <v>4192251.5997925391</v>
      </c>
      <c r="D346" s="17">
        <f>IF(A346&lt;$D$1,C346,C346*1.2225)</f>
        <v>4192251.5997925391</v>
      </c>
      <c r="E346" s="17">
        <f>SQRT(D346*D345)</f>
        <v>3816978.1618392156</v>
      </c>
      <c r="F346" s="24">
        <f>E346/$E$507</f>
        <v>2.4850903666775509E-8</v>
      </c>
      <c r="G346" s="24">
        <f>E346/$E$753</f>
        <v>6.8595087770395412E-9</v>
      </c>
    </row>
    <row r="347" spans="1:7" hidden="1" x14ac:dyDescent="0.2">
      <c r="A347" s="5">
        <v>32387</v>
      </c>
      <c r="B347" s="26">
        <f>INPC!B115</f>
        <v>26.93</v>
      </c>
      <c r="C347" s="17">
        <f>C346*(1+B347/100)</f>
        <v>5321224.9556166697</v>
      </c>
      <c r="D347" s="17">
        <f>IF(A347&lt;$D$1,C347,C347*1.2225)</f>
        <v>5321224.9556166697</v>
      </c>
      <c r="E347" s="17">
        <f>SQRT(D347*D346)</f>
        <v>4723125.4305851292</v>
      </c>
      <c r="F347" s="24">
        <f>E347/$E$507</f>
        <v>3.075048640703039E-8</v>
      </c>
      <c r="G347" s="24">
        <f>E347/$E$753</f>
        <v>8.4879501460249863E-9</v>
      </c>
    </row>
    <row r="348" spans="1:7" hidden="1" x14ac:dyDescent="0.2">
      <c r="A348" s="5">
        <v>32417</v>
      </c>
      <c r="B348" s="26">
        <f>INPC!B116</f>
        <v>26.69</v>
      </c>
      <c r="C348" s="17">
        <f>C347*(1+B348/100)</f>
        <v>6741459.8962707594</v>
      </c>
      <c r="D348" s="17">
        <f>IF(A348&lt;$D$1,C348,C348*1.2225)</f>
        <v>6741459.8962707594</v>
      </c>
      <c r="E348" s="17">
        <f>SQRT(D348*D347)</f>
        <v>5989392.6768350173</v>
      </c>
      <c r="F348" s="24">
        <f>E348/$E$507</f>
        <v>3.8994674353284249E-8</v>
      </c>
      <c r="G348" s="24">
        <f>E348/$E$753</f>
        <v>1.0763564760897043E-8</v>
      </c>
    </row>
    <row r="349" spans="1:7" hidden="1" x14ac:dyDescent="0.2">
      <c r="A349" s="4">
        <v>32448</v>
      </c>
      <c r="B349" s="26">
        <f>INPC!B117</f>
        <v>28.15</v>
      </c>
      <c r="C349" s="17">
        <f>C348*(1+B349/100)</f>
        <v>8639180.8570709769</v>
      </c>
      <c r="D349" s="17">
        <f>IF(A349&lt;$D$1,C349,C349*1.2225)</f>
        <v>8639180.8570709769</v>
      </c>
      <c r="E349" s="17">
        <f>SQRT(D349*D348)</f>
        <v>7631558.9026472196</v>
      </c>
      <c r="F349" s="24">
        <f>E349/$E$507</f>
        <v>4.9686198630391284E-8</v>
      </c>
      <c r="G349" s="24">
        <f>E349/$E$753</f>
        <v>1.3714709137863798E-8</v>
      </c>
    </row>
    <row r="350" spans="1:7" hidden="1" x14ac:dyDescent="0.2">
      <c r="A350" s="5">
        <v>32478</v>
      </c>
      <c r="B350" s="26">
        <f>INPC!B118</f>
        <v>28.43</v>
      </c>
      <c r="C350" s="17">
        <f>C349*(1+B350/100)</f>
        <v>11095299.974736255</v>
      </c>
      <c r="D350" s="17">
        <f>IF(A350&lt;$D$1,C350,C350*1.2225)</f>
        <v>11095299.974736255</v>
      </c>
      <c r="E350" s="17">
        <f>SQRT(D350*D349)</f>
        <v>9790521.0865000207</v>
      </c>
      <c r="F350" s="24">
        <f>E350/$E$507</f>
        <v>6.3742386267913649E-8</v>
      </c>
      <c r="G350" s="24">
        <f>E350/$E$753</f>
        <v>1.7594589876374183E-8</v>
      </c>
    </row>
    <row r="351" spans="1:7" hidden="1" x14ac:dyDescent="0.2">
      <c r="A351" s="5">
        <v>32509</v>
      </c>
      <c r="B351" s="26">
        <f>INPC!B119</f>
        <v>35.479999999999997</v>
      </c>
      <c r="C351" s="17">
        <f>C350*(1+B351/100)</f>
        <v>15031912.405772679</v>
      </c>
      <c r="D351" s="17">
        <f>IF(A351&lt;$D$1,C351,C351*1.2225)</f>
        <v>15031912.405772679</v>
      </c>
      <c r="E351" s="17">
        <f>SQRT(D351*D350)</f>
        <v>12914471.624344807</v>
      </c>
      <c r="F351" s="24">
        <f>E351/$E$507</f>
        <v>8.4081248735584875E-8</v>
      </c>
      <c r="G351" s="24">
        <f>E351/$E$753</f>
        <v>2.3208655565201239E-8</v>
      </c>
    </row>
    <row r="352" spans="1:7" hidden="1" x14ac:dyDescent="0.2">
      <c r="A352" s="5">
        <v>32540</v>
      </c>
      <c r="B352" s="26">
        <f>INPC!B120</f>
        <v>16.350000000000001</v>
      </c>
      <c r="C352" s="17">
        <f>C351*(1+B352/100)</f>
        <v>17489630.084116511</v>
      </c>
      <c r="D352" s="17">
        <f>IF(A352&lt;$D$1,C352,C352*1.2225)</f>
        <v>17489630.084116511</v>
      </c>
      <c r="E352" s="17">
        <f>SQRT(D352*D351)</f>
        <v>16214271.103993729</v>
      </c>
      <c r="F352" s="24">
        <f>E352/$E$507</f>
        <v>1.055649972695084E-7</v>
      </c>
      <c r="G352" s="24">
        <f>E352/$E$753</f>
        <v>2.9138740185390833E-8</v>
      </c>
    </row>
    <row r="353" spans="1:7" hidden="1" x14ac:dyDescent="0.2">
      <c r="A353" s="4">
        <v>32568</v>
      </c>
      <c r="B353" s="26">
        <f>INPC!B121</f>
        <v>5.9</v>
      </c>
      <c r="C353" s="17">
        <f>C352*(1+B353/100)</f>
        <v>18521518.259079386</v>
      </c>
      <c r="D353" s="17">
        <f>IF(A353&lt;$D$1,C353,C353*1.2225)</f>
        <v>18521518.259079386</v>
      </c>
      <c r="E353" s="17">
        <f>SQRT(D353*D352)</f>
        <v>17998180.545474812</v>
      </c>
      <c r="F353" s="24">
        <f>E353/$E$507</f>
        <v>1.1717935810701876E-7</v>
      </c>
      <c r="G353" s="24">
        <f>E353/$E$753</f>
        <v>3.2344611938502177E-8</v>
      </c>
    </row>
    <row r="354" spans="1:7" hidden="1" x14ac:dyDescent="0.2">
      <c r="A354" s="5">
        <v>32599</v>
      </c>
      <c r="B354" s="26">
        <f>INPC!B122</f>
        <v>8.06</v>
      </c>
      <c r="C354" s="17">
        <f>C353*(1+B354/100)</f>
        <v>20014352.630761184</v>
      </c>
      <c r="D354" s="17">
        <f>IF(A354&lt;$D$1,C354,C354*1.2225)</f>
        <v>20014352.630761184</v>
      </c>
      <c r="E354" s="17">
        <f>SQRT(D354*D353)</f>
        <v>19253472.35420917</v>
      </c>
      <c r="F354" s="24">
        <f>E354/$E$507</f>
        <v>1.253520891235144E-7</v>
      </c>
      <c r="G354" s="24">
        <f>E354/$E$753</f>
        <v>3.4600502544805801E-8</v>
      </c>
    </row>
    <row r="355" spans="1:7" hidden="1" x14ac:dyDescent="0.2">
      <c r="A355" s="5">
        <v>32629</v>
      </c>
      <c r="B355" s="26">
        <f>INPC!B123</f>
        <v>16.670000000000002</v>
      </c>
      <c r="C355" s="17">
        <f>C354*(1+B355/100)</f>
        <v>23350745.214309074</v>
      </c>
      <c r="D355" s="17">
        <f>IF(A355&lt;$D$1,C355,C355*1.2225)</f>
        <v>23350745.214309074</v>
      </c>
      <c r="E355" s="17">
        <f>SQRT(D355*D354)</f>
        <v>21618280.433703348</v>
      </c>
      <c r="F355" s="24">
        <f>E355/$E$507</f>
        <v>1.4074846166802091E-7</v>
      </c>
      <c r="G355" s="24">
        <f>E355/$E$753</f>
        <v>3.8850309876553286E-8</v>
      </c>
    </row>
    <row r="356" spans="1:7" hidden="1" x14ac:dyDescent="0.2">
      <c r="A356" s="5">
        <v>32660</v>
      </c>
      <c r="B356" s="26">
        <f>INPC!B124</f>
        <v>29.4</v>
      </c>
      <c r="C356" s="17">
        <f>C355*(1+B356/100)</f>
        <v>30215864.307315942</v>
      </c>
      <c r="D356" s="17">
        <f>IF(A356&lt;$D$1,C356,C356*1.2225)</f>
        <v>30215864.307315942</v>
      </c>
      <c r="E356" s="17">
        <f>SQRT(D356*D355)</f>
        <v>26562434.919831242</v>
      </c>
      <c r="F356" s="24">
        <f>E356/$E$507</f>
        <v>1.7293798480357294E-7</v>
      </c>
      <c r="G356" s="24">
        <f>E356/$E$753</f>
        <v>4.7735472341379121E-8</v>
      </c>
    </row>
    <row r="357" spans="1:7" hidden="1" x14ac:dyDescent="0.2">
      <c r="A357" s="4">
        <v>32690</v>
      </c>
      <c r="B357" s="26">
        <f>INPC!B125</f>
        <v>27.4</v>
      </c>
      <c r="C357" s="17">
        <f>C356*(1+B357/100)</f>
        <v>38495011.127520509</v>
      </c>
      <c r="D357" s="17">
        <f>IF(A357&lt;$D$1,C357,C357*1.2225)</f>
        <v>38495011.127520509</v>
      </c>
      <c r="E357" s="17">
        <f>SQRT(D357*D356)</f>
        <v>34105132.058647379</v>
      </c>
      <c r="F357" s="24">
        <f>E357/$E$507</f>
        <v>2.2204563804046323E-7</v>
      </c>
      <c r="G357" s="24">
        <f>E357/$E$753</f>
        <v>6.1290487600185254E-8</v>
      </c>
    </row>
    <row r="358" spans="1:7" hidden="1" x14ac:dyDescent="0.2">
      <c r="A358" s="5">
        <v>32721</v>
      </c>
      <c r="B358" s="26">
        <f>INPC!B126</f>
        <v>33.18</v>
      </c>
      <c r="C358" s="17">
        <f>C357*(1+B358/100)</f>
        <v>51267655.819631808</v>
      </c>
      <c r="D358" s="17">
        <f>IF(A358&lt;$D$1,C358,C358*1.2225)</f>
        <v>51267655.819631808</v>
      </c>
      <c r="E358" s="17">
        <f>SQRT(D358*D357)</f>
        <v>44424643.850667141</v>
      </c>
      <c r="F358" s="24">
        <f>E358/$E$507</f>
        <v>2.8923208306535869E-7</v>
      </c>
      <c r="G358" s="24">
        <f>E358/$E$753</f>
        <v>7.9835729074140632E-8</v>
      </c>
    </row>
    <row r="359" spans="1:7" hidden="1" x14ac:dyDescent="0.2">
      <c r="A359" s="5">
        <v>32752</v>
      </c>
      <c r="B359" s="26">
        <f>INPC!B127</f>
        <v>36.35</v>
      </c>
      <c r="C359" s="17">
        <f>C358*(1+B359/100)</f>
        <v>69903448.710067973</v>
      </c>
      <c r="D359" s="17">
        <f>IF(A359&lt;$D$1,C359,C359*1.2225)</f>
        <v>69903448.710067973</v>
      </c>
      <c r="E359" s="17">
        <f>SQRT(D359*D358)</f>
        <v>59864730.426796794</v>
      </c>
      <c r="F359" s="24">
        <f>E359/$E$507</f>
        <v>3.897566571764103E-7</v>
      </c>
      <c r="G359" s="24">
        <f>E359/$E$753</f>
        <v>1.0758317873106458E-7</v>
      </c>
    </row>
    <row r="360" spans="1:7" hidden="1" x14ac:dyDescent="0.2">
      <c r="A360" s="5">
        <v>32782</v>
      </c>
      <c r="B360" s="26">
        <f>INPC!B128</f>
        <v>38.76</v>
      </c>
      <c r="C360" s="17">
        <f>C359*(1+B360/100)</f>
        <v>96998025.430090308</v>
      </c>
      <c r="D360" s="17">
        <f>IF(A360&lt;$D$1,C360,C360*1.2225)</f>
        <v>96998025.430090308</v>
      </c>
      <c r="E360" s="17">
        <f>SQRT(D360*D359)</f>
        <v>82343770.22963053</v>
      </c>
      <c r="F360" s="24">
        <f>E360/$E$507</f>
        <v>5.3610919810702426E-7</v>
      </c>
      <c r="G360" s="24">
        <f>E360/$E$753</f>
        <v>1.4798036317622266E-7</v>
      </c>
    </row>
    <row r="361" spans="1:7" hidden="1" x14ac:dyDescent="0.2">
      <c r="A361" s="4">
        <v>32813</v>
      </c>
      <c r="B361" s="26">
        <f>INPC!B129</f>
        <v>48.47</v>
      </c>
      <c r="C361" s="17">
        <f>C360*(1+B361/100)</f>
        <v>144012968.35605508</v>
      </c>
      <c r="D361" s="17">
        <f>IF(A361&lt;$D$1,C361,C361*1.2225)</f>
        <v>144012968.35605508</v>
      </c>
      <c r="E361" s="17">
        <f>SQRT(D361*D360)</f>
        <v>118190412.33054152</v>
      </c>
      <c r="F361" s="24">
        <f>E361/$E$507</f>
        <v>7.694931505050843E-7</v>
      </c>
      <c r="G361" s="24">
        <f>E361/$E$753</f>
        <v>2.1240052637676647E-7</v>
      </c>
    </row>
    <row r="362" spans="1:7" hidden="1" x14ac:dyDescent="0.2">
      <c r="A362" s="5">
        <v>32843</v>
      </c>
      <c r="B362" s="26">
        <f>INPC!B130</f>
        <v>51.28</v>
      </c>
      <c r="C362" s="17">
        <f>C361*(1+B362/100)</f>
        <v>217862818.52904013</v>
      </c>
      <c r="D362" s="17">
        <f>IF(A362&lt;$D$1,C362,C362*1.2225)</f>
        <v>217862818.52904013</v>
      </c>
      <c r="E362" s="17">
        <f>SQRT(D362*D361)</f>
        <v>177130096.7955012</v>
      </c>
      <c r="F362" s="24">
        <f>E362/$E$507</f>
        <v>1.1532271826859467E-6</v>
      </c>
      <c r="G362" s="24">
        <f>E362/$E$753</f>
        <v>3.1832130081172444E-7</v>
      </c>
    </row>
    <row r="363" spans="1:7" hidden="1" x14ac:dyDescent="0.2">
      <c r="A363" s="5">
        <v>32874</v>
      </c>
      <c r="B363" s="26">
        <f>INPC!B131</f>
        <v>68.19</v>
      </c>
      <c r="C363" s="17">
        <f>C362*(1+B363/100)</f>
        <v>366423474.48399258</v>
      </c>
      <c r="D363" s="17">
        <f>IF(A363&lt;$D$1,C363,C363*1.2225)</f>
        <v>366423474.48399258</v>
      </c>
      <c r="E363" s="17">
        <f>SQRT(D363*D362)</f>
        <v>282542122.39290345</v>
      </c>
      <c r="F363" s="24">
        <f>E363/$E$507</f>
        <v>1.8395250818016355E-6</v>
      </c>
      <c r="G363" s="24">
        <f>E363/$E$753</f>
        <v>5.0775773039886232E-7</v>
      </c>
    </row>
    <row r="364" spans="1:7" hidden="1" x14ac:dyDescent="0.2">
      <c r="A364" s="4">
        <v>32905</v>
      </c>
      <c r="B364" s="26">
        <f>INPC!B132</f>
        <v>73.989999999999995</v>
      </c>
      <c r="C364" s="17">
        <f>C363*(1+B364/100)</f>
        <v>637540203.25469863</v>
      </c>
      <c r="D364" s="17">
        <f>IF(A364&lt;$D$1,C364,C364*1.2225)</f>
        <v>637540203.25469863</v>
      </c>
      <c r="E364" s="17">
        <f>SQRT(D364*D363)</f>
        <v>483331869.836676</v>
      </c>
      <c r="F364" s="24">
        <f>E364/$E$507</f>
        <v>3.1467913168793421E-6</v>
      </c>
      <c r="G364" s="24">
        <f>E364/$E$753</f>
        <v>8.68597896763987E-7</v>
      </c>
    </row>
    <row r="365" spans="1:7" hidden="1" x14ac:dyDescent="0.2">
      <c r="A365" s="5">
        <v>32933</v>
      </c>
      <c r="B365" s="26">
        <f>INPC!B133</f>
        <v>82.18</v>
      </c>
      <c r="C365" s="17">
        <f>C364*(1+B365/100)</f>
        <v>1161470742.2894101</v>
      </c>
      <c r="D365" s="17">
        <f>IF(A365&lt;$D$1,C365,C365*1.2225)</f>
        <v>1161470742.2894101</v>
      </c>
      <c r="E365" s="17">
        <f>SQRT(D365*D364)</f>
        <v>860513970.31865561</v>
      </c>
      <c r="F365" s="24">
        <f>E365/$E$507</f>
        <v>5.6024815635830783E-6</v>
      </c>
      <c r="G365" s="24">
        <f>E365/$E$753</f>
        <v>1.5464335612865379E-6</v>
      </c>
    </row>
    <row r="366" spans="1:7" hidden="1" x14ac:dyDescent="0.2">
      <c r="A366" s="5">
        <v>32964</v>
      </c>
      <c r="B366" s="26">
        <f>INPC!B134</f>
        <v>14.67</v>
      </c>
      <c r="C366" s="17">
        <f>C365*(1+B366/100)</f>
        <v>1331858500.1832666</v>
      </c>
      <c r="D366" s="17">
        <f>IF(A366&lt;$D$1,C366,C366*1.2225)</f>
        <v>1331858500.1832666</v>
      </c>
      <c r="E366" s="17">
        <f>SQRT(D366*D365)</f>
        <v>1243750248.5757818</v>
      </c>
      <c r="F366" s="24">
        <f>E366/$E$507</f>
        <v>8.097588275954829E-6</v>
      </c>
      <c r="G366" s="24">
        <f>E366/$E$753</f>
        <v>2.2351492161641726E-6</v>
      </c>
    </row>
    <row r="367" spans="1:7" hidden="1" x14ac:dyDescent="0.2">
      <c r="A367" s="5">
        <v>32994</v>
      </c>
      <c r="B367" s="26">
        <f>INPC!B135</f>
        <v>7.31</v>
      </c>
      <c r="C367" s="17">
        <f>C366*(1+B367/100)</f>
        <v>1429217356.5466633</v>
      </c>
      <c r="D367" s="17">
        <f>IF(A367&lt;$D$1,C367,C367*1.2225)</f>
        <v>1429217356.5466633</v>
      </c>
      <c r="E367" s="17">
        <f>SQRT(D367*D366)</f>
        <v>1379679413.8226938</v>
      </c>
      <c r="F367" s="24">
        <f>E367/$E$507</f>
        <v>8.9825717492237845E-6</v>
      </c>
      <c r="G367" s="24">
        <f>E367/$E$753</f>
        <v>2.4794281359098303E-6</v>
      </c>
    </row>
    <row r="368" spans="1:7" hidden="1" x14ac:dyDescent="0.2">
      <c r="A368" s="4">
        <v>33025</v>
      </c>
      <c r="B368" s="26">
        <f>INPC!B136</f>
        <v>11.64</v>
      </c>
      <c r="C368" s="17">
        <f>C367*(1+B368/100)</f>
        <v>1595578256.848695</v>
      </c>
      <c r="D368" s="17">
        <f>IF(A368&lt;$D$1,C368,C368*1.2225)</f>
        <v>1595578256.848695</v>
      </c>
      <c r="E368" s="17">
        <f>SQRT(D368*D367)</f>
        <v>1510108651.1958749</v>
      </c>
      <c r="F368" s="24">
        <f>E368/$E$507</f>
        <v>9.8317472686692773E-6</v>
      </c>
      <c r="G368" s="24">
        <f>E368/$E$753</f>
        <v>2.7138231103135631E-6</v>
      </c>
    </row>
    <row r="369" spans="1:7" hidden="1" x14ac:dyDescent="0.2">
      <c r="A369" s="5">
        <v>33055</v>
      </c>
      <c r="B369" s="26">
        <f>INPC!B137</f>
        <v>12.62</v>
      </c>
      <c r="C369" s="17">
        <f>C368*(1+B369/100)</f>
        <v>1796940232.8630002</v>
      </c>
      <c r="D369" s="17">
        <f>IF(A369&lt;$D$1,C369,C369*1.2225)</f>
        <v>1796940232.8630002</v>
      </c>
      <c r="E369" s="17">
        <f>SQRT(D369*D368)</f>
        <v>1693268662.7977362</v>
      </c>
      <c r="F369" s="24">
        <f>E369/$E$507</f>
        <v>1.102423294999424E-5</v>
      </c>
      <c r="G369" s="24">
        <f>E369/$E$753</f>
        <v>3.0429807983890536E-6</v>
      </c>
    </row>
    <row r="370" spans="1:7" hidden="1" x14ac:dyDescent="0.2">
      <c r="A370" s="5">
        <v>33086</v>
      </c>
      <c r="B370" s="26">
        <f>INPC!B138</f>
        <v>12.18</v>
      </c>
      <c r="C370" s="17">
        <f>C369*(1+B370/100)</f>
        <v>2015807553.2257135</v>
      </c>
      <c r="D370" s="17">
        <f>IF(A370&lt;$D$1,C370,C370*1.2225)</f>
        <v>2015807553.2257135</v>
      </c>
      <c r="E370" s="17">
        <f>SQRT(D370*D369)</f>
        <v>1903230331.3315518</v>
      </c>
      <c r="F370" s="24">
        <f>E370/$E$507</f>
        <v>1.2391214100322627E-5</v>
      </c>
      <c r="G370" s="24">
        <f>E370/$E$753</f>
        <v>3.4203038657695587E-6</v>
      </c>
    </row>
    <row r="371" spans="1:7" hidden="1" x14ac:dyDescent="0.2">
      <c r="A371" s="5">
        <v>33117</v>
      </c>
      <c r="B371" s="26">
        <f>INPC!B139</f>
        <v>14.26</v>
      </c>
      <c r="C371" s="17">
        <f>C370*(1+B371/100)</f>
        <v>2303261710.3157005</v>
      </c>
      <c r="D371" s="17">
        <f>IF(A371&lt;$D$1,C371,C371*1.2225)</f>
        <v>2303261710.3157005</v>
      </c>
      <c r="E371" s="17">
        <f>SQRT(D371*D370)</f>
        <v>2154746470.6340661</v>
      </c>
      <c r="F371" s="24">
        <f>E371/$E$507</f>
        <v>1.4028740720447251E-5</v>
      </c>
      <c r="G371" s="24">
        <f>E371/$E$753</f>
        <v>3.8723046611530377E-6</v>
      </c>
    </row>
    <row r="372" spans="1:7" hidden="1" x14ac:dyDescent="0.2">
      <c r="A372" s="4">
        <v>33147</v>
      </c>
      <c r="B372" s="26">
        <f>INPC!B140</f>
        <v>14.43</v>
      </c>
      <c r="C372" s="17">
        <f>C371*(1+B372/100)</f>
        <v>2635622375.1142559</v>
      </c>
      <c r="D372" s="17">
        <f>IF(A372&lt;$D$1,C372,C372*1.2225)</f>
        <v>2635622375.1142559</v>
      </c>
      <c r="E372" s="17">
        <f>SQRT(D372*D371)</f>
        <v>2463844171.0976753</v>
      </c>
      <c r="F372" s="24">
        <f>E372/$E$507</f>
        <v>1.6041159144696686E-5</v>
      </c>
      <c r="G372" s="24">
        <f>E372/$E$753</f>
        <v>4.4277855414185979E-6</v>
      </c>
    </row>
    <row r="373" spans="1:7" hidden="1" x14ac:dyDescent="0.2">
      <c r="A373" s="5">
        <v>33178</v>
      </c>
      <c r="B373" s="26">
        <f>INPC!B141</f>
        <v>16.920000000000002</v>
      </c>
      <c r="C373" s="17">
        <f>C372*(1+B373/100)</f>
        <v>3081569680.9835882</v>
      </c>
      <c r="D373" s="17">
        <f>IF(A373&lt;$D$1,C373,C373*1.2225)</f>
        <v>3081569680.9835882</v>
      </c>
      <c r="E373" s="17">
        <f>SQRT(D373*D372)</f>
        <v>2849886664.7068696</v>
      </c>
      <c r="F373" s="24">
        <f>E373/$E$507</f>
        <v>1.855453606570617E-5</v>
      </c>
      <c r="G373" s="24">
        <f>E373/$E$753</f>
        <v>5.1215442586407392E-6</v>
      </c>
    </row>
    <row r="374" spans="1:7" hidden="1" x14ac:dyDescent="0.2">
      <c r="A374" s="5">
        <v>33208</v>
      </c>
      <c r="B374" s="26">
        <f>INPC!B142</f>
        <v>19.14</v>
      </c>
      <c r="C374" s="17">
        <f>C373*(1+B374/100)</f>
        <v>3671382117.9238472</v>
      </c>
      <c r="D374" s="17">
        <f>IF(A374&lt;$D$1,C374,C374*1.2225)</f>
        <v>3671382117.9238472</v>
      </c>
      <c r="E374" s="17">
        <f>SQRT(D374*D373)</f>
        <v>3363572479.0614281</v>
      </c>
      <c r="F374" s="24">
        <f>E374/$E$507</f>
        <v>2.1898950454852994E-5</v>
      </c>
      <c r="G374" s="24">
        <f>E374/$E$753</f>
        <v>6.0446913668515783E-6</v>
      </c>
    </row>
    <row r="375" spans="1:7" hidden="1" x14ac:dyDescent="0.2">
      <c r="A375" s="5">
        <v>33239</v>
      </c>
      <c r="B375" s="26">
        <f>INPC!B143</f>
        <v>20.95</v>
      </c>
      <c r="C375" s="17">
        <f>C374*(1+B375/100)</f>
        <v>4440536671.6288929</v>
      </c>
      <c r="D375" s="17">
        <f>IF(A375&lt;$D$1,C375,C375*1.2225)</f>
        <v>4440536671.6288929</v>
      </c>
      <c r="E375" s="17">
        <f>SQRT(D375*D374)</f>
        <v>4037685838.4727502</v>
      </c>
      <c r="F375" s="24">
        <f>E375/$E$507</f>
        <v>2.6287848018559529E-5</v>
      </c>
      <c r="G375" s="24">
        <f>E375/$E$753</f>
        <v>7.2561435443441142E-6</v>
      </c>
    </row>
    <row r="376" spans="1:7" hidden="1" x14ac:dyDescent="0.2">
      <c r="A376" s="4">
        <v>33270</v>
      </c>
      <c r="B376" s="26">
        <f>INPC!B144</f>
        <v>20.2</v>
      </c>
      <c r="C376" s="17">
        <f>C375*(1+B376/100)</f>
        <v>5337525079.2979288</v>
      </c>
      <c r="D376" s="17">
        <f>IF(A376&lt;$D$1,C376,C376*1.2225)</f>
        <v>5337525079.2979288</v>
      </c>
      <c r="E376" s="17">
        <f>SQRT(D376*D375)</f>
        <v>4868416154.1882763</v>
      </c>
      <c r="F376" s="24">
        <f>E376/$E$507</f>
        <v>3.1696419452190425E-5</v>
      </c>
      <c r="G376" s="24">
        <f>E376/$E$753</f>
        <v>8.7490527647777194E-6</v>
      </c>
    </row>
    <row r="377" spans="1:7" hidden="1" x14ac:dyDescent="0.2">
      <c r="A377" s="5">
        <v>33298</v>
      </c>
      <c r="B377" s="26">
        <f>INPC!B145</f>
        <v>11.79</v>
      </c>
      <c r="C377" s="17">
        <f>C376*(1+B377/100)</f>
        <v>5966819286.1471539</v>
      </c>
      <c r="D377" s="17">
        <f>IF(A377&lt;$D$1,C377,C377*1.2225)</f>
        <v>5966819286.1471539</v>
      </c>
      <c r="E377" s="17">
        <f>SQRT(D377*D376)</f>
        <v>5643407444.3946543</v>
      </c>
      <c r="F377" s="24">
        <f>E377/$E$507</f>
        <v>3.6742095135655343E-5</v>
      </c>
      <c r="G377" s="24">
        <f>E377/$E$753</f>
        <v>1.0141793129511245E-5</v>
      </c>
    </row>
    <row r="378" spans="1:7" hidden="1" x14ac:dyDescent="0.2">
      <c r="A378" s="5">
        <v>33329</v>
      </c>
      <c r="B378" s="26">
        <f>INPC!B146</f>
        <v>5.01</v>
      </c>
      <c r="C378" s="17">
        <f>C377*(1+B378/100)</f>
        <v>6265756932.3831263</v>
      </c>
      <c r="D378" s="17">
        <f>IF(A378&lt;$D$1,C378,C378*1.2225)</f>
        <v>6265756932.3831263</v>
      </c>
      <c r="E378" s="17">
        <f>SQRT(D378*D377)</f>
        <v>6114461489.4898033</v>
      </c>
      <c r="F378" s="24">
        <f>E378/$E$507</f>
        <v>3.9808950171279618E-5</v>
      </c>
      <c r="G378" s="24">
        <f>E378/$E$753</f>
        <v>1.0988326491712405E-5</v>
      </c>
    </row>
    <row r="379" spans="1:7" hidden="1" x14ac:dyDescent="0.2">
      <c r="A379" s="4">
        <v>33359</v>
      </c>
      <c r="B379" s="26">
        <f>INPC!B147</f>
        <v>6.68</v>
      </c>
      <c r="C379" s="17">
        <f>C378*(1+B379/100)</f>
        <v>6684309495.4663191</v>
      </c>
      <c r="D379" s="17">
        <f>IF(A379&lt;$D$1,C379,C379*1.2225)</f>
        <v>6684309495.4663191</v>
      </c>
      <c r="E379" s="17">
        <f>SQRT(D379*D378)</f>
        <v>6471650373.7000847</v>
      </c>
      <c r="F379" s="24">
        <f>E379/$E$507</f>
        <v>4.2134472135512076E-5</v>
      </c>
      <c r="G379" s="24">
        <f>E379/$E$753</f>
        <v>1.1630232256538888E-5</v>
      </c>
    </row>
    <row r="380" spans="1:7" hidden="1" x14ac:dyDescent="0.2">
      <c r="A380" s="5">
        <v>33390</v>
      </c>
      <c r="B380" s="26">
        <f>INPC!B148</f>
        <v>10.83</v>
      </c>
      <c r="C380" s="17">
        <f>C379*(1+B380/100)</f>
        <v>7408220213.8253222</v>
      </c>
      <c r="D380" s="17">
        <f>IF(A380&lt;$D$1,C380,C380*1.2225)</f>
        <v>7408220213.8253222</v>
      </c>
      <c r="E380" s="17">
        <f>SQRT(D380*D379)</f>
        <v>7036962179.7888136</v>
      </c>
      <c r="F380" s="24">
        <f>E380/$E$507</f>
        <v>4.5815003864840225E-5</v>
      </c>
      <c r="G380" s="24">
        <f>E380/$E$753</f>
        <v>1.2646156668786823E-5</v>
      </c>
    </row>
    <row r="381" spans="1:7" hidden="1" x14ac:dyDescent="0.2">
      <c r="A381" s="5">
        <v>33420</v>
      </c>
      <c r="B381" s="26">
        <f>INPC!B149</f>
        <v>12.14</v>
      </c>
      <c r="C381" s="17">
        <f>C380*(1+B381/100)</f>
        <v>8307578147.7837162</v>
      </c>
      <c r="D381" s="17">
        <f>IF(A381&lt;$D$1,C381,C381*1.2225)</f>
        <v>8307578147.7837162</v>
      </c>
      <c r="E381" s="17">
        <f>SQRT(D381*D380)</f>
        <v>7845021884.1214752</v>
      </c>
      <c r="F381" s="24">
        <f>E381/$E$507</f>
        <v>5.1075975507313032E-5</v>
      </c>
      <c r="G381" s="24">
        <f>E381/$E$753</f>
        <v>1.4098324430619398E-5</v>
      </c>
    </row>
    <row r="382" spans="1:7" x14ac:dyDescent="0.2">
      <c r="A382" s="5">
        <v>33451</v>
      </c>
      <c r="B382" s="26">
        <f>INPC!B150</f>
        <v>15.62</v>
      </c>
      <c r="C382" s="17">
        <f>C381*(1+B382/100)</f>
        <v>9605221854.4675331</v>
      </c>
      <c r="D382" s="17">
        <f>IF(A382&lt;$D$1,C382,C382*1.2225)</f>
        <v>9605221854.4675331</v>
      </c>
      <c r="E382" s="17">
        <f>SQRT(D382*D381)</f>
        <v>8932868026.7195854</v>
      </c>
      <c r="F382" s="24">
        <f>E382/$E$507</f>
        <v>5.8158531012674534E-5</v>
      </c>
      <c r="G382" s="25">
        <f>E382/$E$753</f>
        <v>1.6053297670399404E-5</v>
      </c>
    </row>
    <row r="383" spans="1:7" hidden="1" x14ac:dyDescent="0.2">
      <c r="A383" s="4">
        <v>33482</v>
      </c>
      <c r="B383" s="26">
        <f>INPC!B151</f>
        <v>15.62</v>
      </c>
      <c r="C383" s="17">
        <f>C382*(1+B383/100)</f>
        <v>11105557508.135363</v>
      </c>
      <c r="D383" s="17">
        <f>IF(A383&lt;$D$1,C383,C383*1.2225)</f>
        <v>11105557508.135363</v>
      </c>
      <c r="E383" s="17">
        <f>SQRT(D383*D382)</f>
        <v>10328182012.493185</v>
      </c>
      <c r="F383" s="24">
        <f>E383/$E$507</f>
        <v>6.72428935568543E-5</v>
      </c>
      <c r="G383" s="24">
        <f>E383/$E$753</f>
        <v>1.8560822766515791E-5</v>
      </c>
    </row>
    <row r="384" spans="1:7" hidden="1" x14ac:dyDescent="0.2">
      <c r="A384" s="5">
        <v>33512</v>
      </c>
      <c r="B384" s="26">
        <f>INPC!B152</f>
        <v>21.08</v>
      </c>
      <c r="C384" s="17">
        <f>C383*(1+B384/100)</f>
        <v>13446609030.850296</v>
      </c>
      <c r="D384" s="17">
        <f>IF(A384&lt;$D$1,C384,C384*1.2225)</f>
        <v>13446609030.850296</v>
      </c>
      <c r="E384" s="17">
        <f>SQRT(D384*D383)</f>
        <v>12220150976.216303</v>
      </c>
      <c r="F384" s="24">
        <f>E384/$E$507</f>
        <v>7.9560789144540083E-5</v>
      </c>
      <c r="G384" s="24">
        <f>E384/$E$753</f>
        <v>2.1960888777449342E-5</v>
      </c>
    </row>
    <row r="385" spans="1:7" hidden="1" x14ac:dyDescent="0.2">
      <c r="A385" s="5">
        <v>33543</v>
      </c>
      <c r="B385" s="26">
        <f>INPC!B153</f>
        <v>26.48</v>
      </c>
      <c r="C385" s="17">
        <f>C384*(1+B385/100)</f>
        <v>17007271102.219454</v>
      </c>
      <c r="D385" s="17">
        <f>IF(A385&lt;$D$1,C385,C385*1.2225)</f>
        <v>17007271102.219454</v>
      </c>
      <c r="E385" s="17">
        <f>SQRT(D385*D384)</f>
        <v>15122503932.656898</v>
      </c>
      <c r="F385" s="24">
        <f>E385/$E$507</f>
        <v>9.8456913426459559E-5</v>
      </c>
      <c r="G385" s="24">
        <f>E385/$E$753</f>
        <v>2.717672044706987E-5</v>
      </c>
    </row>
    <row r="386" spans="1:7" hidden="1" x14ac:dyDescent="0.2">
      <c r="A386" s="5">
        <v>33573</v>
      </c>
      <c r="B386" s="26">
        <f>INPC!B154</f>
        <v>24.15</v>
      </c>
      <c r="C386" s="17">
        <f>C385*(1+B386/100)</f>
        <v>21114527073.405453</v>
      </c>
      <c r="D386" s="17">
        <f>IF(A386&lt;$D$1,C386,C386*1.2225)</f>
        <v>21114527073.405453</v>
      </c>
      <c r="E386" s="17">
        <f>SQRT(D386*D385)</f>
        <v>18949946863.581409</v>
      </c>
      <c r="F386" s="24">
        <f>E386/$E$507</f>
        <v>1.2337594925365287E-4</v>
      </c>
      <c r="G386" s="24">
        <f>E386/$E$753</f>
        <v>3.4055035508124325E-5</v>
      </c>
    </row>
    <row r="387" spans="1:7" hidden="1" x14ac:dyDescent="0.2">
      <c r="A387" s="4">
        <v>33604</v>
      </c>
      <c r="B387" s="26">
        <f>INPC!B155</f>
        <v>25.92</v>
      </c>
      <c r="C387" s="17">
        <f>C386*(1+B387/100)</f>
        <v>26587412490.83215</v>
      </c>
      <c r="D387" s="17">
        <f>IF(A387&lt;$D$1,C387,C387*1.2225)</f>
        <v>26587412490.83215</v>
      </c>
      <c r="E387" s="17">
        <f>SQRT(D387*D386)</f>
        <v>23693472536.744667</v>
      </c>
      <c r="F387" s="24">
        <f>E387/$E$507</f>
        <v>1.5425925393775815E-4</v>
      </c>
      <c r="G387" s="24">
        <f>E387/$E$753</f>
        <v>4.2579647022667852E-5</v>
      </c>
    </row>
    <row r="388" spans="1:7" hidden="1" x14ac:dyDescent="0.2">
      <c r="A388" s="5">
        <v>33635</v>
      </c>
      <c r="B388" s="26">
        <f>INPC!B156</f>
        <v>24.48</v>
      </c>
      <c r="C388" s="17">
        <f>C387*(1+B388/100)</f>
        <v>33096011068.587864</v>
      </c>
      <c r="D388" s="17">
        <f>IF(A388&lt;$D$1,C388,C388*1.2225)</f>
        <v>33096011068.587864</v>
      </c>
      <c r="E388" s="17">
        <f>SQRT(D388*D387)</f>
        <v>29663737088.938946</v>
      </c>
      <c r="F388" s="24">
        <f>E388/$E$507</f>
        <v>1.9312939229355479E-4</v>
      </c>
      <c r="G388" s="24">
        <f>E388/$E$753</f>
        <v>5.3308836543964822E-5</v>
      </c>
    </row>
    <row r="389" spans="1:7" hidden="1" x14ac:dyDescent="0.2">
      <c r="A389" s="5">
        <v>33664</v>
      </c>
      <c r="B389" s="26">
        <f>INPC!B157</f>
        <v>21.62</v>
      </c>
      <c r="C389" s="17">
        <f>C388*(1+B389/100)</f>
        <v>40251368661.616562</v>
      </c>
      <c r="D389" s="17">
        <f>IF(A389&lt;$D$1,C389,C389*1.2225)</f>
        <v>40251368661.616562</v>
      </c>
      <c r="E389" s="17">
        <f>SQRT(D389*D388)</f>
        <v>36498763578.382652</v>
      </c>
      <c r="F389" s="24">
        <f>E389/$E$507</f>
        <v>2.3762966912175092E-4</v>
      </c>
      <c r="G389" s="24">
        <f>E389/$E$753</f>
        <v>6.5592093667197958E-5</v>
      </c>
    </row>
    <row r="390" spans="1:7" hidden="1" x14ac:dyDescent="0.2">
      <c r="A390" s="5">
        <v>33695</v>
      </c>
      <c r="B390" s="26">
        <f>INPC!B158</f>
        <v>20.84</v>
      </c>
      <c r="C390" s="17">
        <f>C389*(1+B390/100)</f>
        <v>48639753890.697449</v>
      </c>
      <c r="D390" s="17">
        <f>IF(A390&lt;$D$1,C390,C390*1.2225)</f>
        <v>48639753890.697449</v>
      </c>
      <c r="E390" s="17">
        <f>SQRT(D390*D389)</f>
        <v>44247222121.448051</v>
      </c>
      <c r="F390" s="24">
        <f>E390/$E$507</f>
        <v>2.88076957174072E-4</v>
      </c>
      <c r="G390" s="24">
        <f>E390/$E$753</f>
        <v>7.9516883679376976E-5</v>
      </c>
    </row>
    <row r="391" spans="1:7" hidden="1" x14ac:dyDescent="0.2">
      <c r="A391" s="4">
        <v>33725</v>
      </c>
      <c r="B391" s="26">
        <f>INPC!B159</f>
        <v>24.5</v>
      </c>
      <c r="C391" s="17">
        <f>C390*(1+B391/100)</f>
        <v>60556493593.918327</v>
      </c>
      <c r="D391" s="17">
        <f>IF(A391&lt;$D$1,C391,C391*1.2225)</f>
        <v>60556493593.918327</v>
      </c>
      <c r="E391" s="17">
        <f>SQRT(D391*D390)</f>
        <v>54272027278.256187</v>
      </c>
      <c r="F391" s="24">
        <f>E391/$E$507</f>
        <v>3.5334467856705791E-4</v>
      </c>
      <c r="G391" s="24">
        <f>E391/$E$753</f>
        <v>9.753250652174138E-5</v>
      </c>
    </row>
    <row r="392" spans="1:7" hidden="1" x14ac:dyDescent="0.2">
      <c r="A392" s="5">
        <v>33756</v>
      </c>
      <c r="B392" s="26">
        <f>INPC!B160</f>
        <v>20.85</v>
      </c>
      <c r="C392" s="17">
        <f>C391*(1+B392/100)</f>
        <v>73182522508.25029</v>
      </c>
      <c r="D392" s="17">
        <f>IF(A392&lt;$D$1,C392,C392*1.2225)</f>
        <v>73182522508.25029</v>
      </c>
      <c r="E392" s="17">
        <f>SQRT(D392*D391)</f>
        <v>66570841630.98468</v>
      </c>
      <c r="F392" s="24">
        <f>E392/$E$507</f>
        <v>4.3341761525578665E-4</v>
      </c>
      <c r="G392" s="24">
        <f>E392/$E$753</f>
        <v>1.1963476161011478E-4</v>
      </c>
    </row>
    <row r="393" spans="1:7" hidden="1" x14ac:dyDescent="0.2">
      <c r="A393" s="5">
        <v>33786</v>
      </c>
      <c r="B393" s="26">
        <f>INPC!B161</f>
        <v>22.08</v>
      </c>
      <c r="C393" s="17">
        <f>C392*(1+B393/100)</f>
        <v>89341223478.07196</v>
      </c>
      <c r="D393" s="17">
        <f>IF(A393&lt;$D$1,C393,C393*1.2225)</f>
        <v>89341223478.07196</v>
      </c>
      <c r="E393" s="17">
        <f>SQRT(D393*D392)</f>
        <v>80859236319.041626</v>
      </c>
      <c r="F393" s="24">
        <f>E393/$E$507</f>
        <v>5.2644395831840318E-4</v>
      </c>
      <c r="G393" s="24">
        <f>E393/$E$753</f>
        <v>1.4531250054831843E-4</v>
      </c>
    </row>
    <row r="394" spans="1:7" hidden="1" x14ac:dyDescent="0.2">
      <c r="A394" s="4">
        <v>33817</v>
      </c>
      <c r="B394" s="26">
        <f>INPC!B162</f>
        <v>22.38</v>
      </c>
      <c r="C394" s="17">
        <f>C393*(1+B394/100)</f>
        <v>109335789292.46446</v>
      </c>
      <c r="D394" s="17">
        <f>IF(A394&lt;$D$1,C394,C394*1.2225)</f>
        <v>109335789292.46446</v>
      </c>
      <c r="E394" s="17">
        <f>SQRT(D394*D393)</f>
        <v>98834170130.220932</v>
      </c>
      <c r="F394" s="24">
        <f>E394/$E$507</f>
        <v>6.4347196571550155E-4</v>
      </c>
      <c r="G394" s="24">
        <f>E394/$E$753</f>
        <v>1.7761533567511867E-4</v>
      </c>
    </row>
    <row r="395" spans="1:7" hidden="1" x14ac:dyDescent="0.2">
      <c r="A395" s="5">
        <v>33848</v>
      </c>
      <c r="B395" s="26">
        <f>INPC!B163</f>
        <v>23.98</v>
      </c>
      <c r="C395" s="17">
        <f>C394*(1+B395/100)</f>
        <v>135554511564.79744</v>
      </c>
      <c r="D395" s="17">
        <f>IF(A395&lt;$D$1,C395,C395*1.2225)</f>
        <v>135554511564.79744</v>
      </c>
      <c r="E395" s="17">
        <f>SQRT(D395*D394)</f>
        <v>121741363201.2211</v>
      </c>
      <c r="F395" s="24">
        <f>E395/$E$507</f>
        <v>7.926120509208494E-4</v>
      </c>
      <c r="G395" s="24">
        <f>E395/$E$753</f>
        <v>2.1878195630156488E-4</v>
      </c>
    </row>
    <row r="396" spans="1:7" hidden="1" x14ac:dyDescent="0.2">
      <c r="A396" s="5">
        <v>33878</v>
      </c>
      <c r="B396" s="26">
        <f>INPC!B164</f>
        <v>26.07</v>
      </c>
      <c r="C396" s="17">
        <f>C395*(1+B396/100)</f>
        <v>170893572729.74011</v>
      </c>
      <c r="D396" s="17">
        <f>IF(A396&lt;$D$1,C396,C396*1.2225)</f>
        <v>170893572729.74011</v>
      </c>
      <c r="E396" s="17">
        <f>SQRT(D396*D395)</f>
        <v>152201822528.32294</v>
      </c>
      <c r="F396" s="24">
        <f>E396/$E$507</f>
        <v>9.9092860089523924E-4</v>
      </c>
      <c r="G396" s="24">
        <f>E396/$E$753</f>
        <v>2.7352258599545632E-4</v>
      </c>
    </row>
    <row r="397" spans="1:7" hidden="1" x14ac:dyDescent="0.2">
      <c r="A397" s="5">
        <v>33909</v>
      </c>
      <c r="B397" s="26">
        <f>INPC!B165</f>
        <v>22.89</v>
      </c>
      <c r="C397" s="17">
        <f>C396*(1+B397/100)</f>
        <v>210011111527.57761</v>
      </c>
      <c r="D397" s="17">
        <f>IF(A397&lt;$D$1,C397,C397*1.2225)</f>
        <v>210011111527.57761</v>
      </c>
      <c r="E397" s="17">
        <f>SQRT(D397*D396)</f>
        <v>189445372500.60147</v>
      </c>
      <c r="F397" s="24">
        <f>E397/$E$507</f>
        <v>1.233407293024791E-3</v>
      </c>
      <c r="G397" s="24">
        <f>E397/$E$753</f>
        <v>3.404531386711509E-4</v>
      </c>
    </row>
    <row r="398" spans="1:7" hidden="1" x14ac:dyDescent="0.2">
      <c r="A398" s="4">
        <v>33939</v>
      </c>
      <c r="B398" s="26">
        <f>INPC!B166</f>
        <v>25.58</v>
      </c>
      <c r="C398" s="17">
        <f>C397*(1+B398/100)</f>
        <v>263731953856.33197</v>
      </c>
      <c r="D398" s="17">
        <f>IF(A398&lt;$D$1,C398,C398*1.2225)</f>
        <v>263731953856.33197</v>
      </c>
      <c r="E398" s="17">
        <f>SQRT(D398*D397)</f>
        <v>235343665252.98294</v>
      </c>
      <c r="F398" s="24">
        <f>E398/$E$507</f>
        <v>1.5322337476957515E-3</v>
      </c>
      <c r="G398" s="24">
        <f>E398/$E$753</f>
        <v>4.2293716887434834E-4</v>
      </c>
    </row>
    <row r="399" spans="1:7" hidden="1" x14ac:dyDescent="0.2">
      <c r="A399" s="5">
        <v>33970</v>
      </c>
      <c r="B399" s="26">
        <f>INPC!B167</f>
        <v>28.77</v>
      </c>
      <c r="C399" s="17">
        <f>C398*(1+B399/100)</f>
        <v>339607636980.79871</v>
      </c>
      <c r="D399" s="17">
        <f>IF(A399&lt;$D$1,C399,C399*1.2225)</f>
        <v>339607636980.79871</v>
      </c>
      <c r="E399" s="17">
        <f>SQRT(D399*D398)</f>
        <v>299274766135.53296</v>
      </c>
      <c r="F399" s="24">
        <f>E399/$E$507</f>
        <v>1.9484650076036201E-3</v>
      </c>
      <c r="G399" s="24">
        <f>E399/$E$753</f>
        <v>5.3782804040564971E-4</v>
      </c>
    </row>
    <row r="400" spans="1:7" hidden="1" x14ac:dyDescent="0.2">
      <c r="A400" s="5">
        <v>34001</v>
      </c>
      <c r="B400" s="26">
        <f>INPC!B168</f>
        <v>24.79</v>
      </c>
      <c r="C400" s="17">
        <f>C399*(1+B400/100)</f>
        <v>423796370188.33868</v>
      </c>
      <c r="D400" s="17">
        <f>IF(A400&lt;$D$1,C400,C400*1.2225)</f>
        <v>423796370188.33868</v>
      </c>
      <c r="E400" s="17">
        <f>SQRT(D400*D399)</f>
        <v>379373804895.25299</v>
      </c>
      <c r="F400" s="24">
        <f>E400/$E$507</f>
        <v>2.4699596066348022E-3</v>
      </c>
      <c r="G400" s="24">
        <f>E400/$E$753</f>
        <v>6.8177438647014528E-4</v>
      </c>
    </row>
    <row r="401" spans="1:7" hidden="1" x14ac:dyDescent="0.2">
      <c r="A401" s="5">
        <v>34029</v>
      </c>
      <c r="B401" s="26">
        <f>INPC!B169</f>
        <v>27.58</v>
      </c>
      <c r="C401" s="17">
        <f>C400*(1+B401/100)</f>
        <v>540679409086.28253</v>
      </c>
      <c r="D401" s="17">
        <f>IF(A401&lt;$D$1,C401,C401*1.2225)</f>
        <v>540679409086.28253</v>
      </c>
      <c r="E401" s="17">
        <f>SQRT(D401*D400)</f>
        <v>478683581300.15533</v>
      </c>
      <c r="F401" s="24">
        <f>E401/$E$507</f>
        <v>3.1165280652340165E-3</v>
      </c>
      <c r="G401" s="24">
        <f>E401/$E$753</f>
        <v>8.6024443633991377E-4</v>
      </c>
    </row>
    <row r="402" spans="1:7" hidden="1" x14ac:dyDescent="0.2">
      <c r="A402" s="4">
        <v>34060</v>
      </c>
      <c r="B402" s="26">
        <f>INPC!B170</f>
        <v>28.37</v>
      </c>
      <c r="C402" s="17">
        <f>C401*(1+B402/100)</f>
        <v>694070157444.06091</v>
      </c>
      <c r="D402" s="17">
        <f>IF(A402&lt;$D$1,C402,C402*1.2225)</f>
        <v>694070157444.06091</v>
      </c>
      <c r="E402" s="17">
        <f>SQRT(D402*D401)</f>
        <v>612592395146.46106</v>
      </c>
      <c r="F402" s="24">
        <f>E402/$E$507</f>
        <v>3.9883577933410366E-3</v>
      </c>
      <c r="G402" s="24">
        <f>E402/$E$753</f>
        <v>1.100892573414684E-3</v>
      </c>
    </row>
    <row r="403" spans="1:7" hidden="1" x14ac:dyDescent="0.2">
      <c r="A403" s="5">
        <v>34090</v>
      </c>
      <c r="B403" s="26">
        <f>INPC!B171</f>
        <v>26.78</v>
      </c>
      <c r="C403" s="17">
        <f>C402*(1+B403/100)</f>
        <v>879942145607.58044</v>
      </c>
      <c r="D403" s="17">
        <f>IF(A403&lt;$D$1,C403,C403*1.2225)</f>
        <v>879942145607.58044</v>
      </c>
      <c r="E403" s="17">
        <f>SQRT(D403*D402)</f>
        <v>781499573604.18188</v>
      </c>
      <c r="F403" s="24">
        <f>E403/$E$507</f>
        <v>5.0880486593891444E-3</v>
      </c>
      <c r="G403" s="24">
        <f>E403/$E$753</f>
        <v>1.4044364303639303E-3</v>
      </c>
    </row>
    <row r="404" spans="1:7" hidden="1" x14ac:dyDescent="0.2">
      <c r="A404" s="5">
        <v>34121</v>
      </c>
      <c r="B404" s="26">
        <f>INPC!B172</f>
        <v>30.37</v>
      </c>
      <c r="C404" s="17">
        <f>C403*(1+B404/100)</f>
        <v>1147180575228.6028</v>
      </c>
      <c r="D404" s="17">
        <f>IF(A404&lt;$D$1,C404,C404*1.2225)</f>
        <v>1147180575228.6028</v>
      </c>
      <c r="E404" s="17">
        <f>SQRT(D404*D403)</f>
        <v>1004715152053.5535</v>
      </c>
      <c r="F404" s="24">
        <f>E404/$E$507</f>
        <v>6.541321013008276E-3</v>
      </c>
      <c r="G404" s="24">
        <f>E404/$E$753</f>
        <v>1.805578159403228E-3</v>
      </c>
    </row>
    <row r="405" spans="1:7" hidden="1" x14ac:dyDescent="0.2">
      <c r="A405" s="5">
        <v>34151</v>
      </c>
      <c r="B405" s="26">
        <f>INPC!B173</f>
        <v>31.01</v>
      </c>
      <c r="C405" s="17">
        <f>C404*(1+B405/100)</f>
        <v>1502921271606.9927</v>
      </c>
      <c r="D405" s="17">
        <f>IF(A405&lt;$D$1,C405,C405*1.2225)</f>
        <v>1502921271606.9927</v>
      </c>
      <c r="E405" s="17">
        <f>SQRT(D405*D404)</f>
        <v>1313058296072.7271</v>
      </c>
      <c r="F405" s="24">
        <f>E405/$E$507</f>
        <v>8.5488268051396449E-3</v>
      </c>
      <c r="G405" s="24">
        <f>E405/$E$753</f>
        <v>2.3597030228581272E-3</v>
      </c>
    </row>
    <row r="406" spans="1:7" hidden="1" x14ac:dyDescent="0.2">
      <c r="A406" s="4">
        <v>34182</v>
      </c>
      <c r="B406" s="26">
        <f>INPC!B174</f>
        <v>33.340000000000003</v>
      </c>
      <c r="C406" s="17">
        <f>C405*(1+B406/100)</f>
        <v>2003995223560.7642</v>
      </c>
      <c r="D406" s="17">
        <f>IF(A406&lt;$D$1,C406,C406*1.2225)</f>
        <v>2003995223560.7642</v>
      </c>
      <c r="E406" s="17">
        <f>SQRT(D406*D405)</f>
        <v>1735467386523.9541</v>
      </c>
      <c r="F406" s="24">
        <f>E406/$E$507</f>
        <v>1.1298972907551609E-2</v>
      </c>
      <c r="G406" s="24">
        <f>E406/$E$753</f>
        <v>3.1188163163057663E-3</v>
      </c>
    </row>
    <row r="407" spans="1:7" hidden="1" x14ac:dyDescent="0.2">
      <c r="A407" s="5">
        <v>34213</v>
      </c>
      <c r="B407" s="26">
        <f>INPC!B175</f>
        <v>35.630000000000003</v>
      </c>
      <c r="C407" s="17">
        <f>C406*(1+B407/100)</f>
        <v>2718018721715.4644</v>
      </c>
      <c r="D407" s="17">
        <f>IF(A407&lt;$D$1,C407,C407*1.2225)</f>
        <v>2718018721715.4644</v>
      </c>
      <c r="E407" s="17">
        <f>SQRT(D407*D406)</f>
        <v>2333858722345.1475</v>
      </c>
      <c r="F407" s="24">
        <f>E407/$E$507</f>
        <v>1.5194872965402659E-2</v>
      </c>
      <c r="G407" s="24">
        <f>E407/$E$753</f>
        <v>4.1941881015590647E-3</v>
      </c>
    </row>
    <row r="408" spans="1:7" hidden="1" x14ac:dyDescent="0.2">
      <c r="A408" s="5">
        <v>34243</v>
      </c>
      <c r="B408" s="26">
        <f>INPC!B176</f>
        <v>34.119999999999997</v>
      </c>
      <c r="C408" s="17">
        <f>C407*(1+B408/100)</f>
        <v>3645406709564.7808</v>
      </c>
      <c r="D408" s="17">
        <f>IF(A408&lt;$D$1,C408,C408*1.2225)</f>
        <v>3645406709564.7808</v>
      </c>
      <c r="E408" s="17">
        <f>SQRT(D408*D407)</f>
        <v>3147742633199.9004</v>
      </c>
      <c r="F408" s="24">
        <f>E408/$E$507</f>
        <v>2.0493763817543184E-2</v>
      </c>
      <c r="G408" s="24">
        <f>E408/$E$753</f>
        <v>5.6568225713641909E-3</v>
      </c>
    </row>
    <row r="409" spans="1:7" hidden="1" x14ac:dyDescent="0.2">
      <c r="A409" s="4">
        <v>34274</v>
      </c>
      <c r="B409" s="26">
        <f>INPC!B177</f>
        <v>36</v>
      </c>
      <c r="C409" s="17">
        <f>C408*(1+B409/100)</f>
        <v>4957753125008.1016</v>
      </c>
      <c r="D409" s="17">
        <f>IF(A409&lt;$D$1,C409,C409*1.2225)</f>
        <v>4957753125008.1016</v>
      </c>
      <c r="E409" s="17">
        <f>SQRT(D409*D408)</f>
        <v>4251238232123.7061</v>
      </c>
      <c r="F409" s="24">
        <f>E409/$E$507</f>
        <v>2.7678207024405151E-2</v>
      </c>
      <c r="G409" s="24">
        <f>E409/$E$753</f>
        <v>7.6399195201282376E-3</v>
      </c>
    </row>
    <row r="410" spans="1:7" hidden="1" x14ac:dyDescent="0.2">
      <c r="A410" s="5">
        <v>34304</v>
      </c>
      <c r="B410" s="26">
        <f>INPC!B178</f>
        <v>37.729999999999997</v>
      </c>
      <c r="C410" s="17">
        <f>C409*(1+B410/100)</f>
        <v>6828313379073.6582</v>
      </c>
      <c r="D410" s="17">
        <f>IF(A410&lt;$D$1,C410,C410*1.2225)</f>
        <v>6828313379073.6582</v>
      </c>
      <c r="E410" s="17">
        <f>SQRT(D410*D409)</f>
        <v>5818341000116.5332</v>
      </c>
      <c r="F410" s="24">
        <f>E410/$E$507</f>
        <v>3.7881021468740832E-2</v>
      </c>
      <c r="G410" s="24">
        <f>E410/$E$753</f>
        <v>1.0456167016391111E-2</v>
      </c>
    </row>
    <row r="411" spans="1:7" hidden="1" x14ac:dyDescent="0.2">
      <c r="A411" s="5">
        <v>34335</v>
      </c>
      <c r="B411" s="26">
        <f>INPC!B179</f>
        <v>41.32</v>
      </c>
      <c r="C411" s="17">
        <f>C410*(1+B411/100)</f>
        <v>9649772467306.8945</v>
      </c>
      <c r="D411" s="17">
        <f>IF(A411&lt;$D$1,C411,C411*1.2225)</f>
        <v>9649772467306.8945</v>
      </c>
      <c r="E411" s="17">
        <f>SQRT(D411*D410)</f>
        <v>8117368443253.5332</v>
      </c>
      <c r="F411" s="24">
        <f>E411/$E$507</f>
        <v>5.2849121126178025E-2</v>
      </c>
      <c r="G411" s="24">
        <f>E411/$E$753</f>
        <v>1.4587759668012188E-2</v>
      </c>
    </row>
    <row r="412" spans="1:7" hidden="1" x14ac:dyDescent="0.2">
      <c r="A412" s="5">
        <v>34366</v>
      </c>
      <c r="B412" s="26">
        <f>INPC!B180</f>
        <v>40.57</v>
      </c>
      <c r="C412" s="17">
        <f>C411*(1+B412/100)</f>
        <v>13564685157293.301</v>
      </c>
      <c r="D412" s="17">
        <f>IF(A412&lt;$D$1,C412,C412*1.2225)</f>
        <v>13564685157293.301</v>
      </c>
      <c r="E412" s="17">
        <f>SQRT(D412*D411)</f>
        <v>11440984457577.738</v>
      </c>
      <c r="F412" s="24">
        <f>E412/$E$507</f>
        <v>7.4487930125159765E-2</v>
      </c>
      <c r="G412" s="24">
        <f>E412/$E$753</f>
        <v>2.0560645090752106E-2</v>
      </c>
    </row>
    <row r="413" spans="1:7" hidden="1" x14ac:dyDescent="0.2">
      <c r="A413" s="4">
        <v>34394</v>
      </c>
      <c r="B413" s="26">
        <f>INPC!B181</f>
        <v>43.08</v>
      </c>
      <c r="C413" s="17">
        <f>C412*(1+B413/100)</f>
        <v>19408351523055.254</v>
      </c>
      <c r="D413" s="17">
        <f>IF(A413&lt;$D$1,C413,C413*1.2225)</f>
        <v>19408351523055.254</v>
      </c>
      <c r="E413" s="17">
        <f>SQRT(D413*D412)</f>
        <v>16225540910315.393</v>
      </c>
      <c r="F413" s="24">
        <f>E413/$E$507</f>
        <v>0.10563837072342093</v>
      </c>
      <c r="G413" s="24">
        <f>E413/$E$753</f>
        <v>2.9158993205476685E-2</v>
      </c>
    </row>
    <row r="414" spans="1:7" hidden="1" x14ac:dyDescent="0.2">
      <c r="A414" s="5">
        <v>34425</v>
      </c>
      <c r="B414" s="26">
        <f>INPC!B182</f>
        <v>42.86</v>
      </c>
      <c r="C414" s="17">
        <f>C413*(1+B414/100)</f>
        <v>27726770985836.734</v>
      </c>
      <c r="D414" s="17">
        <f>IF(A414&lt;$D$1,C414,C414*1.2225)</f>
        <v>27726770985836.734</v>
      </c>
      <c r="E414" s="17">
        <f>SQRT(D414*D413)</f>
        <v>23197648973384.535</v>
      </c>
      <c r="F414" s="24">
        <f>E414/$E$507</f>
        <v>0.15103113392073328</v>
      </c>
      <c r="G414" s="24">
        <f>E414/$E$753</f>
        <v>4.1688600246782441E-2</v>
      </c>
    </row>
    <row r="415" spans="1:7" hidden="1" x14ac:dyDescent="0.2">
      <c r="A415" s="5">
        <v>34455</v>
      </c>
      <c r="B415" s="26">
        <f>INPC!B183</f>
        <v>42.73</v>
      </c>
      <c r="C415" s="17">
        <f>C414*(1+B415/100)</f>
        <v>39574420228084.773</v>
      </c>
      <c r="D415" s="17">
        <f>IF(A415&lt;$D$1,C415,C415*1.2225)</f>
        <v>39574420228084.773</v>
      </c>
      <c r="E415" s="17">
        <f>SQRT(D415*D414)</f>
        <v>33125079419699.074</v>
      </c>
      <c r="F415" s="24">
        <f>E415/$E$507</f>
        <v>0.2156648853386616</v>
      </c>
      <c r="G415" s="24">
        <f>E415/$E$753</f>
        <v>5.9529230555008097E-2</v>
      </c>
    </row>
    <row r="416" spans="1:7" hidden="1" x14ac:dyDescent="0.2">
      <c r="A416" s="5">
        <v>34486</v>
      </c>
      <c r="B416" s="26">
        <f>INPC!B184</f>
        <v>48.24</v>
      </c>
      <c r="C416" s="17">
        <f>C415*(1+B416/100)</f>
        <v>58665120546112.867</v>
      </c>
      <c r="D416" s="17">
        <f>IF(A416&lt;$D$1,C416,C416*1.2225)</f>
        <v>58665120546112.867</v>
      </c>
      <c r="E416" s="17">
        <f>SQRT(D416*D415)</f>
        <v>48183380259412.273</v>
      </c>
      <c r="F416" s="24">
        <f>E416/$E$507</f>
        <v>0.31370379666759696</v>
      </c>
      <c r="G416" s="24">
        <f>E416/$E$753</f>
        <v>8.6590571332379199E-2</v>
      </c>
    </row>
    <row r="417" spans="1:7" hidden="1" x14ac:dyDescent="0.2">
      <c r="A417" s="4">
        <v>34516</v>
      </c>
      <c r="B417" s="26">
        <f>INPC!B185</f>
        <v>7.75</v>
      </c>
      <c r="C417" s="17">
        <f>C416*(1+B417/100)</f>
        <v>63211667388436.609</v>
      </c>
      <c r="D417" s="17">
        <f>IF(A417&lt;$D$1,C417,C417*1.2225)</f>
        <v>77276263382363.75</v>
      </c>
      <c r="E417" s="17">
        <f>SQRT(D417*D416)</f>
        <v>67330686218688.852</v>
      </c>
      <c r="F417" s="24">
        <f>E417/$E$507</f>
        <v>0.43836467647807525</v>
      </c>
      <c r="G417" s="24">
        <f>E417/$E$753</f>
        <v>0.12100028176704208</v>
      </c>
    </row>
    <row r="418" spans="1:7" hidden="1" x14ac:dyDescent="0.2">
      <c r="A418" s="5">
        <v>34547</v>
      </c>
      <c r="B418" s="26">
        <f>INPC!B186</f>
        <v>1.85</v>
      </c>
      <c r="C418" s="17">
        <f>C417*(1+B418/100)</f>
        <v>64381083235122.688</v>
      </c>
      <c r="D418" s="17">
        <f>IF(A418&lt;$D$1,C418,C418*1.2225)</f>
        <v>78705874254937.484</v>
      </c>
      <c r="E418" s="17">
        <f>SQRT(D418*D417)</f>
        <v>77987793074709.781</v>
      </c>
      <c r="F418" s="24">
        <f>E418/$E$507</f>
        <v>0.50774907550169868</v>
      </c>
      <c r="G418" s="24">
        <f>E418/$E$753</f>
        <v>0.14015221686260451</v>
      </c>
    </row>
    <row r="419" spans="1:7" hidden="1" x14ac:dyDescent="0.2">
      <c r="A419" s="5">
        <v>34578</v>
      </c>
      <c r="B419" s="26">
        <f>INPC!B187</f>
        <v>1.4</v>
      </c>
      <c r="C419" s="17">
        <f>C418*(1+B419/100)</f>
        <v>65282418400414.406</v>
      </c>
      <c r="D419" s="17">
        <f>IF(A419&lt;$D$1,C419,C419*1.2225)</f>
        <v>79807756494506.609</v>
      </c>
      <c r="E419" s="17">
        <f>SQRT(D419*D418)</f>
        <v>79254900461897.672</v>
      </c>
      <c r="F419" s="24">
        <f>E419/$E$507</f>
        <v>0.51599873328839485</v>
      </c>
      <c r="G419" s="24">
        <f>E419/$E$753</f>
        <v>0.14242934129856902</v>
      </c>
    </row>
    <row r="420" spans="1:7" hidden="1" x14ac:dyDescent="0.2">
      <c r="A420" s="5">
        <v>34608</v>
      </c>
      <c r="B420" s="26">
        <f>INPC!B188</f>
        <v>2.82</v>
      </c>
      <c r="C420" s="17">
        <f>C419*(1+B420/100)</f>
        <v>67123382599306.094</v>
      </c>
      <c r="D420" s="17">
        <f>IF(A420&lt;$D$1,C420,C420*1.2225)</f>
        <v>82058335227651.688</v>
      </c>
      <c r="E420" s="17">
        <f>SQRT(D420*D419)</f>
        <v>80925222497025.109</v>
      </c>
      <c r="F420" s="24">
        <f>E420/$E$507</f>
        <v>0.52687356940939667</v>
      </c>
      <c r="G420" s="24">
        <f>E420/$E$753</f>
        <v>0.14543108460823426</v>
      </c>
    </row>
    <row r="421" spans="1:7" hidden="1" x14ac:dyDescent="0.2">
      <c r="A421" s="4">
        <v>34639</v>
      </c>
      <c r="B421" s="26">
        <f>INPC!B189</f>
        <v>2.96</v>
      </c>
      <c r="C421" s="17">
        <f>C420*(1+B421/100)</f>
        <v>69110234724245.562</v>
      </c>
      <c r="D421" s="17">
        <f>IF(A421&lt;$D$1,C421,C421*1.2225)</f>
        <v>84487261950390.188</v>
      </c>
      <c r="E421" s="17">
        <f>SQRT(D421*D420)</f>
        <v>83263942157404.125</v>
      </c>
      <c r="F421" s="24">
        <f>E421/$E$507</f>
        <v>0.54210009010703353</v>
      </c>
      <c r="G421" s="24">
        <f>E421/$E$753</f>
        <v>0.14963400832359414</v>
      </c>
    </row>
    <row r="422" spans="1:7" hidden="1" x14ac:dyDescent="0.2">
      <c r="A422" s="5">
        <v>34669</v>
      </c>
      <c r="B422" s="26">
        <f>INPC!B190</f>
        <v>1.7</v>
      </c>
      <c r="C422" s="17">
        <f>C421*(1+B422/100)</f>
        <v>70285108714557.727</v>
      </c>
      <c r="D422" s="17">
        <f>IF(A422&lt;$D$1,C422,C422*1.2225)</f>
        <v>85923545403546.812</v>
      </c>
      <c r="E422" s="17">
        <f>SQRT(D422*D421)</f>
        <v>85202377245096.312</v>
      </c>
      <c r="F422" s="24">
        <f>E422/$E$507</f>
        <v>0.55472050908405079</v>
      </c>
      <c r="G422" s="24">
        <f>E422/$E$753</f>
        <v>0.15311757881678736</v>
      </c>
    </row>
    <row r="423" spans="1:7" hidden="1" x14ac:dyDescent="0.2">
      <c r="A423" s="5">
        <v>34700</v>
      </c>
      <c r="B423" s="26">
        <f>INPC!B191</f>
        <v>1.44</v>
      </c>
      <c r="C423" s="17">
        <f>C422*(1+B423/100)</f>
        <v>71297214280047.359</v>
      </c>
      <c r="D423" s="17">
        <f>IF(A423&lt;$D$1,C423,C423*1.2225)</f>
        <v>87160844457357.891</v>
      </c>
      <c r="E423" s="17">
        <f>SQRT(D423*D422)</f>
        <v>86539983684671.859</v>
      </c>
      <c r="F423" s="24">
        <f>E423/$E$507</f>
        <v>0.56342915958309725</v>
      </c>
      <c r="G423" s="24">
        <f>E423/$E$753</f>
        <v>0.15552139741974</v>
      </c>
    </row>
    <row r="424" spans="1:7" hidden="1" x14ac:dyDescent="0.2">
      <c r="A424" s="4">
        <v>34731</v>
      </c>
      <c r="B424" s="26">
        <f>INPC!B192</f>
        <v>1.01</v>
      </c>
      <c r="C424" s="17">
        <f>C423*(1+B424/100)</f>
        <v>72017316144275.844</v>
      </c>
      <c r="D424" s="17">
        <f>IF(A424&lt;$D$1,C424,C424*1.2225)</f>
        <v>88041168986377.219</v>
      </c>
      <c r="E424" s="17">
        <f>SQRT(D424*D423)</f>
        <v>87599900889587.688</v>
      </c>
      <c r="F424" s="24">
        <f>E424/$E$507</f>
        <v>0.57032988032010812</v>
      </c>
      <c r="G424" s="24">
        <f>E424/$E$753</f>
        <v>0.1574261794388627</v>
      </c>
    </row>
    <row r="425" spans="1:7" hidden="1" x14ac:dyDescent="0.2">
      <c r="A425" s="5">
        <v>34759</v>
      </c>
      <c r="B425" s="26">
        <f>INPC!B193</f>
        <v>1.62</v>
      </c>
      <c r="C425" s="17">
        <f>C424*(1+B425/100)</f>
        <v>73183996665813.109</v>
      </c>
      <c r="D425" s="17">
        <f>IF(A425&lt;$D$1,C425,C425*1.2225)</f>
        <v>89467435923956.516</v>
      </c>
      <c r="E425" s="17">
        <f>SQRT(D425*D424)</f>
        <v>88751437424747.844</v>
      </c>
      <c r="F425" s="24">
        <f>E425/$E$507</f>
        <v>0.57782709992438486</v>
      </c>
      <c r="G425" s="24">
        <f>E425/$E$753</f>
        <v>0.15949561097215884</v>
      </c>
    </row>
    <row r="426" spans="1:7" hidden="1" x14ac:dyDescent="0.2">
      <c r="A426" s="5">
        <v>34790</v>
      </c>
      <c r="B426" s="26">
        <f>INPC!B194</f>
        <v>2.4900000000000002</v>
      </c>
      <c r="C426" s="17">
        <f>C425*(1+B426/100)</f>
        <v>75006278182791.844</v>
      </c>
      <c r="D426" s="17">
        <f>IF(A426&lt;$D$1,C426,C426*1.2225)</f>
        <v>91695175078463.016</v>
      </c>
      <c r="E426" s="17">
        <f>SQRT(D426*D425)</f>
        <v>90574456668910.594</v>
      </c>
      <c r="F426" s="24">
        <f>E426/$E$507</f>
        <v>0.58969608992079003</v>
      </c>
      <c r="G426" s="24">
        <f>E426/$E$753</f>
        <v>0.16277176712915942</v>
      </c>
    </row>
    <row r="427" spans="1:7" hidden="1" x14ac:dyDescent="0.2">
      <c r="A427" s="5">
        <v>34820</v>
      </c>
      <c r="B427" s="26">
        <f>INPC!B195</f>
        <v>2.1</v>
      </c>
      <c r="C427" s="17">
        <f>C426*(1+B427/100)</f>
        <v>76581410024630.469</v>
      </c>
      <c r="D427" s="17">
        <f>IF(A427&lt;$D$1,C427,C427*1.2225)</f>
        <v>93620773755110.734</v>
      </c>
      <c r="E427" s="17">
        <f>SQRT(D427*D426)</f>
        <v>92652972108055.203</v>
      </c>
      <c r="F427" s="24">
        <f>E427/$E$507</f>
        <v>0.60322851917713116</v>
      </c>
      <c r="G427" s="24">
        <f>E427/$E$753</f>
        <v>0.16650707665766734</v>
      </c>
    </row>
    <row r="428" spans="1:7" hidden="1" x14ac:dyDescent="0.2">
      <c r="A428" s="4">
        <v>34851</v>
      </c>
      <c r="B428" s="26">
        <f>INPC!B196</f>
        <v>2.1800000000000002</v>
      </c>
      <c r="C428" s="17">
        <f>C427*(1+B428/100)</f>
        <v>78250884763167.422</v>
      </c>
      <c r="D428" s="17">
        <f>IF(A428&lt;$D$1,C428,C428*1.2225)</f>
        <v>95661706622972.172</v>
      </c>
      <c r="E428" s="17">
        <f>SQRT(D428*D427)</f>
        <v>94635738454228.031</v>
      </c>
      <c r="F428" s="24">
        <f>E428/$E$507</f>
        <v>0.61613756224032823</v>
      </c>
      <c r="G428" s="24">
        <f>E428/$E$753</f>
        <v>0.17007031505666242</v>
      </c>
    </row>
    <row r="429" spans="1:7" hidden="1" x14ac:dyDescent="0.2">
      <c r="A429" s="5">
        <v>34881</v>
      </c>
      <c r="B429" s="26">
        <f>INPC!B197</f>
        <v>2.46</v>
      </c>
      <c r="C429" s="17">
        <f>C428*(1+B429/100)</f>
        <v>80175856528341.344</v>
      </c>
      <c r="D429" s="17">
        <f>IF(A429&lt;$D$1,C429,C429*1.2225)</f>
        <v>98014984605897.281</v>
      </c>
      <c r="E429" s="17">
        <f>SQRT(D429*D428)</f>
        <v>96831196946152.016</v>
      </c>
      <c r="F429" s="24">
        <f>E429/$E$507</f>
        <v>0.63043136356009211</v>
      </c>
      <c r="G429" s="24">
        <f>E429/$E$753</f>
        <v>0.17401578347603686</v>
      </c>
    </row>
    <row r="430" spans="1:7" hidden="1" x14ac:dyDescent="0.2">
      <c r="A430" s="5">
        <v>34912</v>
      </c>
      <c r="B430" s="26">
        <f>INPC!B198</f>
        <v>1.02</v>
      </c>
      <c r="C430" s="17">
        <f>C429*(1+B430/100)</f>
        <v>80993650264930.422</v>
      </c>
      <c r="D430" s="17">
        <f>IF(A430&lt;$D$1,C430,C430*1.2225)</f>
        <v>99014737448877.438</v>
      </c>
      <c r="E430" s="17">
        <f>SQRT(D430*D429)</f>
        <v>98513592802255.891</v>
      </c>
      <c r="F430" s="24">
        <f>E430/$E$507</f>
        <v>0.6413848077708586</v>
      </c>
      <c r="G430" s="24">
        <f>E430/$E$753</f>
        <v>0.17703922470417288</v>
      </c>
    </row>
    <row r="431" spans="1:7" hidden="1" x14ac:dyDescent="0.2">
      <c r="A431" s="5">
        <v>34943</v>
      </c>
      <c r="B431" s="26">
        <f>INPC!B199</f>
        <v>1.17</v>
      </c>
      <c r="C431" s="17">
        <f>C430*(1+B431/100)</f>
        <v>81941275973030.109</v>
      </c>
      <c r="D431" s="17">
        <f>IF(A431&lt;$D$1,C431,C431*1.2225)</f>
        <v>100173209877029.3</v>
      </c>
      <c r="E431" s="17">
        <f>SQRT(D431*D430)</f>
        <v>99592289236593.766</v>
      </c>
      <c r="F431" s="24">
        <f>E431/$E$507</f>
        <v>0.64840779298031759</v>
      </c>
      <c r="G431" s="24">
        <f>E431/$E$753</f>
        <v>0.17897775496171475</v>
      </c>
    </row>
    <row r="432" spans="1:7" hidden="1" x14ac:dyDescent="0.2">
      <c r="A432" s="4">
        <v>34973</v>
      </c>
      <c r="B432" s="26">
        <f>INPC!B200</f>
        <v>1.4</v>
      </c>
      <c r="C432" s="17">
        <f>C431*(1+B432/100)</f>
        <v>83088453836652.531</v>
      </c>
      <c r="D432" s="17">
        <f>IF(A432&lt;$D$1,C432,C432*1.2225)</f>
        <v>101575634815307.72</v>
      </c>
      <c r="E432" s="17">
        <f>SQRT(D432*D431)</f>
        <v>100871985133367.45</v>
      </c>
      <c r="F432" s="24">
        <f>E432/$E$507</f>
        <v>0.65673940979998702</v>
      </c>
      <c r="G432" s="24">
        <f>E432/$E$753</f>
        <v>0.18127750226538569</v>
      </c>
    </row>
    <row r="433" spans="1:7" hidden="1" x14ac:dyDescent="0.2">
      <c r="A433" s="5">
        <v>35004</v>
      </c>
      <c r="B433" s="26">
        <f>INPC!B201</f>
        <v>1.51</v>
      </c>
      <c r="C433" s="17">
        <f>C432*(1+B433/100)</f>
        <v>84343089489585.969</v>
      </c>
      <c r="D433" s="17">
        <f>IF(A433&lt;$D$1,C433,C433*1.2225)</f>
        <v>103109426901018.84</v>
      </c>
      <c r="E433" s="17">
        <f>SQRT(D433*D432)</f>
        <v>102339657478973.2</v>
      </c>
      <c r="F433" s="24">
        <f>E433/$E$507</f>
        <v>0.66629487030528489</v>
      </c>
      <c r="G433" s="24">
        <f>E433/$E$753</f>
        <v>0.1839150628983367</v>
      </c>
    </row>
    <row r="434" spans="1:7" hidden="1" x14ac:dyDescent="0.2">
      <c r="A434" s="5">
        <v>35034</v>
      </c>
      <c r="B434" s="26">
        <f>INPC!B202</f>
        <v>1.65</v>
      </c>
      <c r="C434" s="17">
        <f>C433*(1+B434/100)</f>
        <v>85734750466164.141</v>
      </c>
      <c r="D434" s="17">
        <f>IF(A434&lt;$D$1,C434,C434*1.2225)</f>
        <v>104810732444885.66</v>
      </c>
      <c r="E434" s="17">
        <f>SQRT(D434*D433)</f>
        <v>103956599383916.86</v>
      </c>
      <c r="F434" s="24">
        <f>E434/$E$507</f>
        <v>0.67682216855295563</v>
      </c>
      <c r="G434" s="24">
        <f>E434/$E$753</f>
        <v>0.18682087653379634</v>
      </c>
    </row>
    <row r="435" spans="1:7" hidden="1" x14ac:dyDescent="0.2">
      <c r="A435" s="5">
        <v>35065</v>
      </c>
      <c r="B435" s="26">
        <f>INPC!B203</f>
        <v>1.46</v>
      </c>
      <c r="C435" s="17">
        <f>C434*(1+B435/100)</f>
        <v>86986477822970.125</v>
      </c>
      <c r="D435" s="17">
        <f>IF(A435&lt;$D$1,C435,C435*1.2225)</f>
        <v>106340969138580.97</v>
      </c>
      <c r="E435" s="17">
        <f>SQRT(D435*D434)</f>
        <v>105573078312198.77</v>
      </c>
      <c r="F435" s="24">
        <f>E435/$E$507</f>
        <v>0.68734645253438387</v>
      </c>
      <c r="G435" s="24">
        <f>E435/$E$753</f>
        <v>0.18972585815179605</v>
      </c>
    </row>
    <row r="436" spans="1:7" hidden="1" x14ac:dyDescent="0.2">
      <c r="A436" s="4">
        <v>35096</v>
      </c>
      <c r="B436" s="26">
        <f>INPC!B204</f>
        <v>0.71</v>
      </c>
      <c r="C436" s="17">
        <f>C435*(1+B436/100)</f>
        <v>87604081815513.219</v>
      </c>
      <c r="D436" s="17">
        <f>IF(A436&lt;$D$1,C436,C436*1.2225)</f>
        <v>107095990019464.91</v>
      </c>
      <c r="E436" s="17">
        <f>SQRT(D436*D435)</f>
        <v>106717811866275.12</v>
      </c>
      <c r="F436" s="24">
        <f>E436/$E$507</f>
        <v>0.69479938049736956</v>
      </c>
      <c r="G436" s="24">
        <f>E436/$E$753</f>
        <v>0.19178306401691286</v>
      </c>
    </row>
    <row r="437" spans="1:7" hidden="1" x14ac:dyDescent="0.2">
      <c r="A437" s="5">
        <v>35125</v>
      </c>
      <c r="B437" s="26">
        <f>INPC!B205</f>
        <v>0.28999999999999998</v>
      </c>
      <c r="C437" s="17">
        <f>C436*(1+B437/100)</f>
        <v>87858133652778.203</v>
      </c>
      <c r="D437" s="17">
        <f>IF(A437&lt;$D$1,C437,C437*1.2225)</f>
        <v>107406568390521.34</v>
      </c>
      <c r="E437" s="17">
        <f>SQRT(D437*D436)</f>
        <v>107251166783286.08</v>
      </c>
      <c r="F437" s="24">
        <f>E437/$E$507</f>
        <v>0.69827185298761141</v>
      </c>
      <c r="G437" s="24">
        <f>E437/$E$753</f>
        <v>0.19274155855877081</v>
      </c>
    </row>
    <row r="438" spans="1:7" hidden="1" x14ac:dyDescent="0.2">
      <c r="A438" s="5">
        <v>35156</v>
      </c>
      <c r="B438" s="26">
        <f>INPC!B206</f>
        <v>0.93</v>
      </c>
      <c r="C438" s="17">
        <f>C437*(1+B438/100)</f>
        <v>88675214295749.047</v>
      </c>
      <c r="D438" s="17">
        <f>IF(A438&lt;$D$1,C438,C438*1.2225)</f>
        <v>108405449476553.2</v>
      </c>
      <c r="E438" s="17">
        <f>SQRT(D438*D437)</f>
        <v>107904853102669.2</v>
      </c>
      <c r="F438" s="24">
        <f>E438/$E$507</f>
        <v>0.70252775780616328</v>
      </c>
      <c r="G438" s="24">
        <f>E438/$E$753</f>
        <v>0.19391630120992567</v>
      </c>
    </row>
    <row r="439" spans="1:7" hidden="1" x14ac:dyDescent="0.2">
      <c r="A439" s="4">
        <v>35186</v>
      </c>
      <c r="B439" s="26">
        <f>INPC!B207</f>
        <v>1.28</v>
      </c>
      <c r="C439" s="17">
        <f>C438*(1+B439/100)</f>
        <v>89810257038734.625</v>
      </c>
      <c r="D439" s="17">
        <f>IF(A439&lt;$D$1,C439,C439*1.2225)</f>
        <v>109793039229853.08</v>
      </c>
      <c r="E439" s="17">
        <f>SQRT(D439*D438)</f>
        <v>109097038305854.39</v>
      </c>
      <c r="F439" s="24">
        <f>E439/$E$507</f>
        <v>0.71028962554056885</v>
      </c>
      <c r="G439" s="24">
        <f>E439/$E$753</f>
        <v>0.19605878264900337</v>
      </c>
    </row>
    <row r="440" spans="1:7" hidden="1" x14ac:dyDescent="0.2">
      <c r="A440" s="5">
        <v>35217</v>
      </c>
      <c r="B440" s="26">
        <f>INPC!B208</f>
        <v>1.33</v>
      </c>
      <c r="C440" s="17">
        <f>C439*(1+B440/100)</f>
        <v>91004733457349.797</v>
      </c>
      <c r="D440" s="17">
        <f>IF(A440&lt;$D$1,C440,C440*1.2225)</f>
        <v>111253286651610.12</v>
      </c>
      <c r="E440" s="17">
        <f>SQRT(D440*D439)</f>
        <v>110520751290381.3</v>
      </c>
      <c r="F440" s="24">
        <f>E440/$E$507</f>
        <v>0.71955888324325568</v>
      </c>
      <c r="G440" s="24">
        <f>E440/$E$753</f>
        <v>0.19861734371466105</v>
      </c>
    </row>
    <row r="441" spans="1:7" hidden="1" x14ac:dyDescent="0.2">
      <c r="A441" s="5">
        <v>35247</v>
      </c>
      <c r="B441" s="26">
        <f>INPC!B209</f>
        <v>1.2</v>
      </c>
      <c r="C441" s="17">
        <f>C440*(1+B441/100)</f>
        <v>92096790258838</v>
      </c>
      <c r="D441" s="17">
        <f>IF(A441&lt;$D$1,C441,C441*1.2225)</f>
        <v>112588326091429.45</v>
      </c>
      <c r="E441" s="17">
        <f>SQRT(D441*D440)</f>
        <v>111918815738350.06</v>
      </c>
      <c r="F441" s="24">
        <f>E441/$E$507</f>
        <v>0.7286611530083188</v>
      </c>
      <c r="G441" s="24">
        <f>E441/$E$753</f>
        <v>0.20112981167887067</v>
      </c>
    </row>
    <row r="442" spans="1:7" hidden="1" x14ac:dyDescent="0.2">
      <c r="A442" s="5">
        <v>35278</v>
      </c>
      <c r="B442" s="26">
        <f>INPC!B210</f>
        <v>0.5</v>
      </c>
      <c r="C442" s="17">
        <f>C441*(1+B442/100)</f>
        <v>92557274210132.188</v>
      </c>
      <c r="D442" s="17">
        <f>IF(A442&lt;$D$1,C442,C442*1.2225)</f>
        <v>113151267721886.59</v>
      </c>
      <c r="E442" s="17">
        <f>SQRT(D442*D441)</f>
        <v>112869445944996.12</v>
      </c>
      <c r="F442" s="24">
        <f>E442/$E$507</f>
        <v>0.73485034736218569</v>
      </c>
      <c r="G442" s="24">
        <f>E442/$E$753</f>
        <v>0.20283819353743113</v>
      </c>
    </row>
    <row r="443" spans="1:7" hidden="1" x14ac:dyDescent="0.2">
      <c r="A443" s="4">
        <v>35309</v>
      </c>
      <c r="B443" s="26">
        <f>INPC!B211</f>
        <v>0.02</v>
      </c>
      <c r="C443" s="17">
        <f>C442*(1+B443/100)</f>
        <v>92575785664974.219</v>
      </c>
      <c r="D443" s="17">
        <f>IF(A443&lt;$D$1,C443,C443*1.2225)</f>
        <v>113173897975430.97</v>
      </c>
      <c r="E443" s="17">
        <f>SQRT(D443*D442)</f>
        <v>113162582282959.02</v>
      </c>
      <c r="F443" s="24">
        <f>E443/$E$507</f>
        <v>0.73675884738159292</v>
      </c>
      <c r="G443" s="24">
        <f>E443/$E$753</f>
        <v>0.20336499018071</v>
      </c>
    </row>
    <row r="444" spans="1:7" hidden="1" x14ac:dyDescent="0.2">
      <c r="A444" s="5">
        <v>35339</v>
      </c>
      <c r="B444" s="26">
        <f>INPC!B212</f>
        <v>0.38</v>
      </c>
      <c r="C444" s="17">
        <f>C443*(1+B444/100)</f>
        <v>92927573650501.125</v>
      </c>
      <c r="D444" s="17">
        <f>IF(A444&lt;$D$1,C444,C444*1.2225)</f>
        <v>113603958787737.62</v>
      </c>
      <c r="E444" s="17">
        <f>SQRT(D444*D443)</f>
        <v>113388724489908.97</v>
      </c>
      <c r="F444" s="24">
        <f>E444/$E$507</f>
        <v>0.73823117390839632</v>
      </c>
      <c r="G444" s="24">
        <f>E444/$E$753</f>
        <v>0.20377139136710948</v>
      </c>
    </row>
    <row r="445" spans="1:7" hidden="1" x14ac:dyDescent="0.2">
      <c r="A445" s="5">
        <v>35370</v>
      </c>
      <c r="B445" s="26">
        <f>INPC!B213</f>
        <v>0.34</v>
      </c>
      <c r="C445" s="17">
        <f>C444*(1+B445/100)</f>
        <v>93243527400912.828</v>
      </c>
      <c r="D445" s="17">
        <f>IF(A445&lt;$D$1,C445,C445*1.2225)</f>
        <v>113990212247615.92</v>
      </c>
      <c r="E445" s="17">
        <f>SQRT(D445*D444)</f>
        <v>113796921638432.84</v>
      </c>
      <c r="F445" s="24">
        <f>E445/$E$507</f>
        <v>0.74088879142280495</v>
      </c>
      <c r="G445" s="24">
        <f>E445/$E$753</f>
        <v>0.20450496431522214</v>
      </c>
    </row>
    <row r="446" spans="1:7" hidden="1" x14ac:dyDescent="0.2">
      <c r="A446" s="5">
        <v>35400</v>
      </c>
      <c r="B446" s="26">
        <f>INPC!B214</f>
        <v>0.33</v>
      </c>
      <c r="C446" s="17">
        <f>C445*(1+B446/100)</f>
        <v>93551231041335.844</v>
      </c>
      <c r="D446" s="17">
        <f>IF(A446&lt;$D$1,C446,C446*1.2225)</f>
        <v>114366379948033.06</v>
      </c>
      <c r="E446" s="17">
        <f>SQRT(D446*D445)</f>
        <v>114178141184150.38</v>
      </c>
      <c r="F446" s="24">
        <f>E446/$E$507</f>
        <v>0.7433707679510525</v>
      </c>
      <c r="G446" s="24">
        <f>E446/$E$753</f>
        <v>0.20519005569090043</v>
      </c>
    </row>
    <row r="447" spans="1:7" hidden="1" x14ac:dyDescent="0.2">
      <c r="A447" s="4">
        <v>35431</v>
      </c>
      <c r="B447" s="26">
        <f>INPC!B215</f>
        <v>0.81</v>
      </c>
      <c r="C447" s="17">
        <f>C446*(1+B447/100)</f>
        <v>94308996012770.656</v>
      </c>
      <c r="D447" s="17">
        <f>IF(A447&lt;$D$1,C447,C447*1.2225)</f>
        <v>115292747625612.12</v>
      </c>
      <c r="E447" s="17">
        <f>SQRT(D447*D446)</f>
        <v>114828629619113.03</v>
      </c>
      <c r="F447" s="24">
        <f>E447/$E$507</f>
        <v>0.74760585255154166</v>
      </c>
      <c r="G447" s="24">
        <f>E447/$E$753</f>
        <v>0.20635905140945046</v>
      </c>
    </row>
    <row r="448" spans="1:7" hidden="1" x14ac:dyDescent="0.2">
      <c r="A448" s="5">
        <v>35462</v>
      </c>
      <c r="B448" s="26">
        <f>INPC!B216</f>
        <v>0.45</v>
      </c>
      <c r="C448" s="17">
        <f>C447*(1+B448/100)</f>
        <v>94733386494828.125</v>
      </c>
      <c r="D448" s="17">
        <f>IF(A448&lt;$D$1,C448,C448*1.2225)</f>
        <v>115811564989927.38</v>
      </c>
      <c r="E448" s="17">
        <f>SQRT(D448*D447)</f>
        <v>115551865127789.58</v>
      </c>
      <c r="F448" s="24">
        <f>E448/$E$507</f>
        <v>0.75231456588246937</v>
      </c>
      <c r="G448" s="24">
        <f>E448/$E$753</f>
        <v>0.20765878122431611</v>
      </c>
    </row>
    <row r="449" spans="1:7" hidden="1" x14ac:dyDescent="0.2">
      <c r="A449" s="5">
        <v>35490</v>
      </c>
      <c r="B449" s="26">
        <f>INPC!B217</f>
        <v>0.68</v>
      </c>
      <c r="C449" s="17">
        <f>C448*(1+B449/100)</f>
        <v>95377573522992.953</v>
      </c>
      <c r="D449" s="17">
        <f>IF(A449&lt;$D$1,C449,C449*1.2225)</f>
        <v>116599083631858.88</v>
      </c>
      <c r="E449" s="17">
        <f>SQRT(D449*D448)</f>
        <v>116204657186349.47</v>
      </c>
      <c r="F449" s="24">
        <f>E449/$E$507</f>
        <v>0.7565646485064399</v>
      </c>
      <c r="G449" s="24">
        <f>E449/$E$753</f>
        <v>0.20883191679528715</v>
      </c>
    </row>
    <row r="450" spans="1:7" hidden="1" x14ac:dyDescent="0.2">
      <c r="A450" s="5">
        <v>35521</v>
      </c>
      <c r="B450" s="26">
        <f>INPC!B218</f>
        <v>0.6</v>
      </c>
      <c r="C450" s="17">
        <f>C449*(1+B450/100)</f>
        <v>95949838964130.906</v>
      </c>
      <c r="D450" s="17">
        <f>IF(A450&lt;$D$1,C450,C450*1.2225)</f>
        <v>117298678133650.03</v>
      </c>
      <c r="E450" s="17">
        <f>SQRT(D450*D449)</f>
        <v>116948357755087.59</v>
      </c>
      <c r="F450" s="24">
        <f>E450/$E$507</f>
        <v>0.7614066021166046</v>
      </c>
      <c r="G450" s="24">
        <f>E450/$E$753</f>
        <v>0.21016842446246498</v>
      </c>
    </row>
    <row r="451" spans="1:7" hidden="1" x14ac:dyDescent="0.2">
      <c r="A451" s="4">
        <v>35551</v>
      </c>
      <c r="B451" s="26">
        <f>INPC!B219</f>
        <v>0.11</v>
      </c>
      <c r="C451" s="17">
        <f>C450*(1+B451/100)</f>
        <v>96055383786991.453</v>
      </c>
      <c r="D451" s="17">
        <f>IF(A451&lt;$D$1,C451,C451*1.2225)</f>
        <v>117427706679597.05</v>
      </c>
      <c r="E451" s="17">
        <f>SQRT(D451*D450)</f>
        <v>117363174674949.55</v>
      </c>
      <c r="F451" s="24">
        <f>E451/$E$507</f>
        <v>0.76410731846282298</v>
      </c>
      <c r="G451" s="24">
        <f>E451/$E$753</f>
        <v>0.21091389383169148</v>
      </c>
    </row>
    <row r="452" spans="1:7" hidden="1" x14ac:dyDescent="0.2">
      <c r="A452" s="5">
        <v>35582</v>
      </c>
      <c r="B452" s="26">
        <f>INPC!B220</f>
        <v>0.35</v>
      </c>
      <c r="C452" s="17">
        <f>C451*(1+B452/100)</f>
        <v>96391577630245.922</v>
      </c>
      <c r="D452" s="17">
        <f>IF(A452&lt;$D$1,C452,C452*1.2225)</f>
        <v>117838703652975.62</v>
      </c>
      <c r="E452" s="17">
        <f>SQRT(D452*D451)</f>
        <v>117633025669093.38</v>
      </c>
      <c r="F452" s="24">
        <f>E452/$E$507</f>
        <v>0.76586421640027957</v>
      </c>
      <c r="G452" s="24">
        <f>E452/$E$753</f>
        <v>0.21139884427791841</v>
      </c>
    </row>
    <row r="453" spans="1:7" hidden="1" x14ac:dyDescent="0.2">
      <c r="A453" s="5">
        <v>35612</v>
      </c>
      <c r="B453" s="26">
        <f>INPC!B221</f>
        <v>0.18</v>
      </c>
      <c r="C453" s="17">
        <f>C452*(1+B453/100)</f>
        <v>96565082469980.359</v>
      </c>
      <c r="D453" s="17">
        <f>IF(A453&lt;$D$1,C453,C453*1.2225)</f>
        <v>118050813319550.98</v>
      </c>
      <c r="E453" s="17">
        <f>SQRT(D453*D452)</f>
        <v>117944710804492.27</v>
      </c>
      <c r="F453" s="24">
        <f>E453/$E$507</f>
        <v>0.76789348063647611</v>
      </c>
      <c r="G453" s="24">
        <f>E453/$E$753</f>
        <v>0.2119589750492486</v>
      </c>
    </row>
    <row r="454" spans="1:7" hidden="1" x14ac:dyDescent="0.2">
      <c r="A454" s="4">
        <v>35643</v>
      </c>
      <c r="B454" s="26">
        <f>INPC!B222</f>
        <v>-0.03</v>
      </c>
      <c r="C454" s="17">
        <f>C453*(1+B454/100)</f>
        <v>96536112945239.375</v>
      </c>
      <c r="D454" s="17">
        <f>IF(A454&lt;$D$1,C454,C454*1.2225)</f>
        <v>118015398075555.12</v>
      </c>
      <c r="E454" s="17">
        <f>SQRT(D454*D453)</f>
        <v>118033104369282.16</v>
      </c>
      <c r="F454" s="24">
        <f>E454/$E$507</f>
        <v>0.76846897776279399</v>
      </c>
      <c r="G454" s="24">
        <f>E454/$E$753</f>
        <v>0.21211782752568453</v>
      </c>
    </row>
    <row r="455" spans="1:7" hidden="1" x14ac:dyDescent="0.2">
      <c r="A455" s="5">
        <v>35674</v>
      </c>
      <c r="B455" s="26">
        <f>INPC!B223</f>
        <v>0.1</v>
      </c>
      <c r="C455" s="17">
        <f>C454*(1+B455/100)</f>
        <v>96632649058184.609</v>
      </c>
      <c r="D455" s="17">
        <f>IF(A455&lt;$D$1,C455,C455*1.2225)</f>
        <v>118133413473630.67</v>
      </c>
      <c r="E455" s="17">
        <f>SQRT(D455*D454)</f>
        <v>118074391030039.5</v>
      </c>
      <c r="F455" s="24">
        <f>E455/$E$507</f>
        <v>0.76873777962272105</v>
      </c>
      <c r="G455" s="24">
        <f>E455/$E$753</f>
        <v>0.21219202397110071</v>
      </c>
    </row>
    <row r="456" spans="1:7" hidden="1" x14ac:dyDescent="0.2">
      <c r="A456" s="5">
        <v>35704</v>
      </c>
      <c r="B456" s="26">
        <f>INPC!B224</f>
        <v>0.28999999999999998</v>
      </c>
      <c r="C456" s="17">
        <f>C455*(1+B456/100)</f>
        <v>96912883740453.328</v>
      </c>
      <c r="D456" s="17">
        <f>IF(A456&lt;$D$1,C456,C456*1.2225)</f>
        <v>118476000372704.19</v>
      </c>
      <c r="E456" s="17">
        <f>SQRT(D456*D455)</f>
        <v>118304582915163.03</v>
      </c>
      <c r="F456" s="24">
        <f>E456/$E$507</f>
        <v>0.77023647207510915</v>
      </c>
      <c r="G456" s="24">
        <f>E456/$E$753</f>
        <v>0.21260570285252436</v>
      </c>
    </row>
    <row r="457" spans="1:7" hidden="1" x14ac:dyDescent="0.2">
      <c r="A457" s="5">
        <v>35735</v>
      </c>
      <c r="B457" s="26">
        <f>INPC!B225</f>
        <v>0.15</v>
      </c>
      <c r="C457" s="17">
        <f>C456*(1+B457/100)</f>
        <v>97058253066064.016</v>
      </c>
      <c r="D457" s="17">
        <f>IF(A457&lt;$D$1,C457,C457*1.2225)</f>
        <v>118653714373263.25</v>
      </c>
      <c r="E457" s="17">
        <f>SQRT(D457*D456)</f>
        <v>118564824076576.23</v>
      </c>
      <c r="F457" s="24">
        <f>E457/$E$507</f>
        <v>0.77193080401996184</v>
      </c>
      <c r="G457" s="24">
        <f>E457/$E$753</f>
        <v>0.21307338342473928</v>
      </c>
    </row>
    <row r="458" spans="1:7" hidden="1" x14ac:dyDescent="0.2">
      <c r="A458" s="4">
        <v>35765</v>
      </c>
      <c r="B458" s="26">
        <f>INPC!B226</f>
        <v>0.56999999999999995</v>
      </c>
      <c r="C458" s="17">
        <f>C457*(1+B458/100)</f>
        <v>97611485108540.578</v>
      </c>
      <c r="D458" s="17">
        <f>IF(A458&lt;$D$1,C458,C458*1.2225)</f>
        <v>119330040545190.84</v>
      </c>
      <c r="E458" s="17">
        <f>SQRT(D458*D457)</f>
        <v>118991396945321.2</v>
      </c>
      <c r="F458" s="24">
        <f>E458/$E$507</f>
        <v>0.77470805891076089</v>
      </c>
      <c r="G458" s="24">
        <f>E458/$E$753</f>
        <v>0.21383997946305489</v>
      </c>
    </row>
    <row r="459" spans="1:7" hidden="1" x14ac:dyDescent="0.2">
      <c r="A459" s="5">
        <v>35796</v>
      </c>
      <c r="B459" s="26">
        <f>INPC!B227</f>
        <v>0.85</v>
      </c>
      <c r="C459" s="17">
        <f>C458*(1+B459/100)</f>
        <v>98441182731963.172</v>
      </c>
      <c r="D459" s="17">
        <f>IF(A459&lt;$D$1,C459,C459*1.2225)</f>
        <v>120344345889824.97</v>
      </c>
      <c r="E459" s="17">
        <f>SQRT(D459*D458)</f>
        <v>119836120074113.23</v>
      </c>
      <c r="F459" s="24">
        <f>E459/$E$507</f>
        <v>0.78020773226718187</v>
      </c>
      <c r="G459" s="24">
        <f>E459/$E$753</f>
        <v>0.21535803523137115</v>
      </c>
    </row>
    <row r="460" spans="1:7" hidden="1" x14ac:dyDescent="0.2">
      <c r="A460" s="5">
        <v>35827</v>
      </c>
      <c r="B460" s="26">
        <f>INPC!B228</f>
        <v>0.54</v>
      </c>
      <c r="C460" s="17">
        <f>C459*(1+B460/100)</f>
        <v>98972765118715.781</v>
      </c>
      <c r="D460" s="17">
        <f>IF(A460&lt;$D$1,C460,C460*1.2225)</f>
        <v>120994205357630.03</v>
      </c>
      <c r="E460" s="17">
        <f>SQRT(D460*D459)</f>
        <v>120668838148973.41</v>
      </c>
      <c r="F460" s="24">
        <f>E460/$E$507</f>
        <v>0.7856292452501018</v>
      </c>
      <c r="G460" s="24">
        <f>E460/$E$753</f>
        <v>0.21685451666278455</v>
      </c>
    </row>
    <row r="461" spans="1:7" hidden="1" x14ac:dyDescent="0.2">
      <c r="A461" s="5">
        <v>35855</v>
      </c>
      <c r="B461" s="26">
        <f>INPC!B229</f>
        <v>0.49</v>
      </c>
      <c r="C461" s="17">
        <f>C460*(1+B461/100)</f>
        <v>99457731667797.484</v>
      </c>
      <c r="D461" s="17">
        <f>IF(A461&lt;$D$1,C461,C461*1.2225)</f>
        <v>121587076963882.42</v>
      </c>
      <c r="E461" s="17">
        <f>SQRT(D461*D460)</f>
        <v>121290278913860.03</v>
      </c>
      <c r="F461" s="24">
        <f>E461/$E$507</f>
        <v>0.789675211438015</v>
      </c>
      <c r="G461" s="24">
        <f>E461/$E$753</f>
        <v>0.21797131068161538</v>
      </c>
    </row>
    <row r="462" spans="1:7" hidden="1" x14ac:dyDescent="0.2">
      <c r="A462" s="4">
        <v>35886</v>
      </c>
      <c r="B462" s="26">
        <f>INPC!B230</f>
        <v>0.45</v>
      </c>
      <c r="C462" s="17">
        <f>C461*(1+B462/100)</f>
        <v>99905291460302.562</v>
      </c>
      <c r="D462" s="17">
        <f>IF(A462&lt;$D$1,C462,C462*1.2225)</f>
        <v>122134218810219.88</v>
      </c>
      <c r="E462" s="17">
        <f>SQRT(D462*D461)</f>
        <v>121860340810297.52</v>
      </c>
      <c r="F462" s="24">
        <f>E462/$E$507</f>
        <v>0.79338666921215151</v>
      </c>
      <c r="G462" s="24">
        <f>E462/$E$753</f>
        <v>0.21899577150278615</v>
      </c>
    </row>
    <row r="463" spans="1:7" hidden="1" x14ac:dyDescent="0.2">
      <c r="A463" s="5">
        <v>35916</v>
      </c>
      <c r="B463" s="26">
        <f>INPC!B231</f>
        <v>0.72</v>
      </c>
      <c r="C463" s="17">
        <f>C462*(1+B463/100)</f>
        <v>100624609558816.75</v>
      </c>
      <c r="D463" s="17">
        <f>IF(A463&lt;$D$1,C463,C463*1.2225)</f>
        <v>123013585185653.47</v>
      </c>
      <c r="E463" s="17">
        <f>SQRT(D463*D462)</f>
        <v>122573113404588.95</v>
      </c>
      <c r="F463" s="24">
        <f>E463/$E$507</f>
        <v>0.798027262457914</v>
      </c>
      <c r="G463" s="24">
        <f>E463/$E$753</f>
        <v>0.220276698366727</v>
      </c>
    </row>
    <row r="464" spans="1:7" hidden="1" x14ac:dyDescent="0.2">
      <c r="A464" s="5">
        <v>35947</v>
      </c>
      <c r="B464" s="26">
        <f>INPC!B232</f>
        <v>0.15</v>
      </c>
      <c r="C464" s="17">
        <f>C463*(1+B464/100)</f>
        <v>100775546473154.98</v>
      </c>
      <c r="D464" s="17">
        <f>IF(A464&lt;$D$1,C464,C464*1.2225)</f>
        <v>123198105563431.95</v>
      </c>
      <c r="E464" s="17">
        <f>SQRT(D464*D463)</f>
        <v>123105810802895.75</v>
      </c>
      <c r="F464" s="24">
        <f>E464/$E$507</f>
        <v>0.80149545409212697</v>
      </c>
      <c r="G464" s="24">
        <f>E464/$E$753</f>
        <v>0.22123401127873771</v>
      </c>
    </row>
    <row r="465" spans="1:7" hidden="1" x14ac:dyDescent="0.2">
      <c r="A465" s="5">
        <v>35977</v>
      </c>
      <c r="B465" s="26">
        <f>INPC!B233</f>
        <v>-0.28000000000000003</v>
      </c>
      <c r="C465" s="17">
        <f>C464*(1+B465/100)</f>
        <v>100493374943030.14</v>
      </c>
      <c r="D465" s="17">
        <f>IF(A465&lt;$D$1,C465,C465*1.2225)</f>
        <v>122853150867854.34</v>
      </c>
      <c r="E465" s="17">
        <f>SQRT(D465*D464)</f>
        <v>123025507312175.52</v>
      </c>
      <c r="F465" s="24">
        <f>E465/$E$507</f>
        <v>0.80097262838357408</v>
      </c>
      <c r="G465" s="24">
        <f>E465/$E$753</f>
        <v>0.22108969751112711</v>
      </c>
    </row>
    <row r="466" spans="1:7" hidden="1" x14ac:dyDescent="0.2">
      <c r="A466" s="4">
        <v>36008</v>
      </c>
      <c r="B466" s="26">
        <f>INPC!B234</f>
        <v>-0.49</v>
      </c>
      <c r="C466" s="17">
        <f>C465*(1+B466/100)</f>
        <v>100000957405809.3</v>
      </c>
      <c r="D466" s="17">
        <f>IF(A466&lt;$D$1,C466,C466*1.2225)</f>
        <v>122251170428601.86</v>
      </c>
      <c r="E466" s="17">
        <f>SQRT(D466*D465)</f>
        <v>122551791029086.14</v>
      </c>
      <c r="F466" s="24">
        <f>E466/$E$507</f>
        <v>0.79788844052152863</v>
      </c>
      <c r="G466" s="24">
        <f>E466/$E$753</f>
        <v>0.22023837982894462</v>
      </c>
    </row>
    <row r="467" spans="1:7" hidden="1" x14ac:dyDescent="0.2">
      <c r="A467" s="5">
        <v>36039</v>
      </c>
      <c r="B467" s="26">
        <f>INPC!B235</f>
        <v>-0.31</v>
      </c>
      <c r="C467" s="17">
        <f>C466*(1+B467/100)</f>
        <v>99690954437851.281</v>
      </c>
      <c r="D467" s="17">
        <f>IF(A467&lt;$D$1,C467,C467*1.2225)</f>
        <v>121872191800273.19</v>
      </c>
      <c r="E467" s="17">
        <f>SQRT(D467*D466)</f>
        <v>122061534032153.03</v>
      </c>
      <c r="F467" s="24">
        <f>E467/$E$507</f>
        <v>0.79469656231678754</v>
      </c>
      <c r="G467" s="24">
        <f>E467/$E$753</f>
        <v>0.2193573367548477</v>
      </c>
    </row>
    <row r="468" spans="1:7" hidden="1" x14ac:dyDescent="0.2">
      <c r="A468" s="5">
        <v>36069</v>
      </c>
      <c r="B468" s="26">
        <f>INPC!B236</f>
        <v>0.11</v>
      </c>
      <c r="C468" s="17">
        <f>C467*(1+B468/100)</f>
        <v>99800614487732.922</v>
      </c>
      <c r="D468" s="17">
        <f>IF(A468&lt;$D$1,C468,C468*1.2225)</f>
        <v>122006251211253.48</v>
      </c>
      <c r="E468" s="17">
        <f>SQRT(D468*D467)</f>
        <v>121939203082725.61</v>
      </c>
      <c r="F468" s="24">
        <f>E468/$E$507</f>
        <v>0.79390011169255315</v>
      </c>
      <c r="G468" s="24">
        <f>E468/$E$753</f>
        <v>0.21913749525046333</v>
      </c>
    </row>
    <row r="469" spans="1:7" hidden="1" x14ac:dyDescent="0.2">
      <c r="A469" s="4">
        <v>36100</v>
      </c>
      <c r="B469" s="26">
        <f>INPC!B237</f>
        <v>-0.18</v>
      </c>
      <c r="C469" s="17">
        <f>C468*(1+B469/100)</f>
        <v>99620973381655</v>
      </c>
      <c r="D469" s="17">
        <f>IF(A469&lt;$D$1,C469,C469*1.2225)</f>
        <v>121786639959073.23</v>
      </c>
      <c r="E469" s="17">
        <f>SQRT(D469*D468)</f>
        <v>121896396128110.25</v>
      </c>
      <c r="F469" s="24">
        <f>E469/$E$507</f>
        <v>0.79362141177332124</v>
      </c>
      <c r="G469" s="24">
        <f>E469/$E$753</f>
        <v>0.21906056667805543</v>
      </c>
    </row>
    <row r="470" spans="1:7" hidden="1" x14ac:dyDescent="0.2">
      <c r="A470" s="5">
        <v>36130</v>
      </c>
      <c r="B470" s="26">
        <f>INPC!B238</f>
        <v>0.42</v>
      </c>
      <c r="C470" s="17">
        <f>C469*(1+B470/100)</f>
        <v>100039381469857.95</v>
      </c>
      <c r="D470" s="17">
        <f>IF(A470&lt;$D$1,C470,C470*1.2225)</f>
        <v>122298143846901.34</v>
      </c>
      <c r="E470" s="17">
        <f>SQRT(D470*D469)</f>
        <v>122042123925903.23</v>
      </c>
      <c r="F470" s="24">
        <f>E470/$E$507</f>
        <v>0.79457019044350885</v>
      </c>
      <c r="G470" s="24">
        <f>E470/$E$753</f>
        <v>0.21932245476481829</v>
      </c>
    </row>
    <row r="471" spans="1:7" hidden="1" x14ac:dyDescent="0.2">
      <c r="A471" s="5">
        <v>36161</v>
      </c>
      <c r="B471" s="26">
        <f>INPC!B239</f>
        <v>0.65</v>
      </c>
      <c r="C471" s="17">
        <f>C470*(1+B471/100)</f>
        <v>100689637449412.03</v>
      </c>
      <c r="D471" s="17">
        <f>IF(A471&lt;$D$1,C471,C471*1.2225)</f>
        <v>123093081781906.2</v>
      </c>
      <c r="E471" s="17">
        <f>SQRT(D471*D470)</f>
        <v>122694969017975.45</v>
      </c>
      <c r="F471" s="24">
        <f>E471/$E$507</f>
        <v>0.7988206183486547</v>
      </c>
      <c r="G471" s="24">
        <f>E471/$E$753</f>
        <v>0.22049568564255501</v>
      </c>
    </row>
    <row r="472" spans="1:7" hidden="1" x14ac:dyDescent="0.2">
      <c r="A472" s="5">
        <v>36192</v>
      </c>
      <c r="B472" s="26">
        <f>INPC!B240</f>
        <v>1.29</v>
      </c>
      <c r="C472" s="17">
        <f>C471*(1+B472/100)</f>
        <v>101988533772509.44</v>
      </c>
      <c r="D472" s="17">
        <f>IF(A472&lt;$D$1,C472,C472*1.2225)</f>
        <v>124680982536892.78</v>
      </c>
      <c r="E472" s="17">
        <f>SQRT(D472*D471)</f>
        <v>123884488052629.75</v>
      </c>
      <c r="F472" s="24">
        <f>E472/$E$507</f>
        <v>0.80656512766639887</v>
      </c>
      <c r="G472" s="24">
        <f>E472/$E$753</f>
        <v>0.22263337569806613</v>
      </c>
    </row>
    <row r="473" spans="1:7" hidden="1" x14ac:dyDescent="0.2">
      <c r="A473" s="4">
        <v>36220</v>
      </c>
      <c r="B473" s="26">
        <f>INPC!B241</f>
        <v>1.28</v>
      </c>
      <c r="C473" s="17">
        <f>C472*(1+B473/100)</f>
        <v>103293987004797.55</v>
      </c>
      <c r="D473" s="17">
        <f>IF(A473&lt;$D$1,C473,C473*1.2225)</f>
        <v>126276899113365</v>
      </c>
      <c r="E473" s="17">
        <f>SQRT(D473*D472)</f>
        <v>125476403571215.06</v>
      </c>
      <c r="F473" s="24">
        <f>E473/$E$507</f>
        <v>0.81692948856149672</v>
      </c>
      <c r="G473" s="24">
        <f>E473/$E$753</f>
        <v>0.2254942143010252</v>
      </c>
    </row>
    <row r="474" spans="1:7" hidden="1" x14ac:dyDescent="0.2">
      <c r="A474" s="5">
        <v>36251</v>
      </c>
      <c r="B474" s="26">
        <f>INPC!B242</f>
        <v>0.47</v>
      </c>
      <c r="C474" s="17">
        <f>C473*(1+B474/100)</f>
        <v>103779468743720.09</v>
      </c>
      <c r="D474" s="17">
        <f>IF(A474&lt;$D$1,C474,C474*1.2225)</f>
        <v>126870400539197.81</v>
      </c>
      <c r="E474" s="17">
        <f>SQRT(D474*D473)</f>
        <v>126573301961197.53</v>
      </c>
      <c r="F474" s="24">
        <f>E474/$E$507</f>
        <v>0.82407097983179534</v>
      </c>
      <c r="G474" s="24">
        <f>E474/$E$753</f>
        <v>0.22746545537566099</v>
      </c>
    </row>
    <row r="475" spans="1:7" hidden="1" x14ac:dyDescent="0.2">
      <c r="A475" s="5">
        <v>36281</v>
      </c>
      <c r="B475" s="26">
        <f>INPC!B243</f>
        <v>0.05</v>
      </c>
      <c r="C475" s="17">
        <f>C474*(1+B475/100)</f>
        <v>103831358478091.95</v>
      </c>
      <c r="D475" s="17">
        <f>IF(A475&lt;$D$1,C475,C475*1.2225)</f>
        <v>126933835739467.41</v>
      </c>
      <c r="E475" s="17">
        <f>SQRT(D475*D474)</f>
        <v>126902114175623.45</v>
      </c>
      <c r="F475" s="24">
        <f>E475/$E$507</f>
        <v>0.82621175201300701</v>
      </c>
      <c r="G475" s="24">
        <f>E475/$E$753</f>
        <v>0.22805636529843759</v>
      </c>
    </row>
    <row r="476" spans="1:7" hidden="1" x14ac:dyDescent="0.2">
      <c r="A476" s="5">
        <v>36312</v>
      </c>
      <c r="B476" s="26">
        <f>INPC!B244</f>
        <v>7.0000000000000007E-2</v>
      </c>
      <c r="C476" s="17">
        <f>C475*(1+B476/100)</f>
        <v>103904040429026.61</v>
      </c>
      <c r="D476" s="17">
        <f>IF(A476&lt;$D$1,C476,C476*1.2225)</f>
        <v>127022689424485.02</v>
      </c>
      <c r="E476" s="17">
        <f>SQRT(D476*D475)</f>
        <v>126978254809998.72</v>
      </c>
      <c r="F476" s="24">
        <f>E476/$E$507</f>
        <v>0.82670747493563312</v>
      </c>
      <c r="G476" s="24">
        <f>E476/$E$753</f>
        <v>0.22819319797801857</v>
      </c>
    </row>
    <row r="477" spans="1:7" hidden="1" x14ac:dyDescent="0.2">
      <c r="A477" s="4">
        <v>36342</v>
      </c>
      <c r="B477" s="26">
        <f>INPC!B245</f>
        <v>0.74</v>
      </c>
      <c r="C477" s="17">
        <f>C476*(1+B477/100)</f>
        <v>104672930328201.41</v>
      </c>
      <c r="D477" s="17">
        <f>IF(A477&lt;$D$1,C477,C477*1.2225)</f>
        <v>127962657326226.2</v>
      </c>
      <c r="E477" s="17">
        <f>SQRT(D477*D476)</f>
        <v>127491807107284.48</v>
      </c>
      <c r="F477" s="24">
        <f>E477/$E$507</f>
        <v>0.83005102004555598</v>
      </c>
      <c r="G477" s="24">
        <f>E477/$E$753</f>
        <v>0.22911610514209915</v>
      </c>
    </row>
    <row r="478" spans="1:7" hidden="1" x14ac:dyDescent="0.2">
      <c r="A478" s="5">
        <v>36373</v>
      </c>
      <c r="B478" s="26">
        <f>INPC!B246</f>
        <v>0.55000000000000004</v>
      </c>
      <c r="C478" s="17">
        <f>C477*(1+B478/100)</f>
        <v>105248631445006.52</v>
      </c>
      <c r="D478" s="17">
        <f>IF(A478&lt;$D$1,C478,C478*1.2225)</f>
        <v>128666451941520.45</v>
      </c>
      <c r="E478" s="17">
        <f>SQRT(D478*D477)</f>
        <v>128314072101130.56</v>
      </c>
      <c r="F478" s="24">
        <f>E478/$E$507</f>
        <v>0.83540447696467657</v>
      </c>
      <c r="G478" s="24">
        <f>E478/$E$753</f>
        <v>0.23059380129418341</v>
      </c>
    </row>
    <row r="479" spans="1:7" hidden="1" x14ac:dyDescent="0.2">
      <c r="A479" s="5">
        <v>36404</v>
      </c>
      <c r="B479" s="26">
        <f>INPC!B247</f>
        <v>0.39</v>
      </c>
      <c r="C479" s="17">
        <f>C478*(1+B479/100)</f>
        <v>105659101107642.05</v>
      </c>
      <c r="D479" s="17">
        <f>IF(A479&lt;$D$1,C479,C479*1.2225)</f>
        <v>129168251104092.39</v>
      </c>
      <c r="E479" s="17">
        <f>SQRT(D479*D478)</f>
        <v>128917107371577.92</v>
      </c>
      <c r="F479" s="24">
        <f>E479/$E$507</f>
        <v>0.83933061192750658</v>
      </c>
      <c r="G479" s="24">
        <f>E479/$E$753</f>
        <v>0.23167751871542874</v>
      </c>
    </row>
    <row r="480" spans="1:7" hidden="1" x14ac:dyDescent="0.2">
      <c r="A480" s="5">
        <v>36434</v>
      </c>
      <c r="B480" s="26">
        <f>INPC!B248</f>
        <v>0.96</v>
      </c>
      <c r="C480" s="17">
        <f>C479*(1+B480/100)</f>
        <v>106673428478275.42</v>
      </c>
      <c r="D480" s="17">
        <f>IF(A480&lt;$D$1,C480,C480*1.2225)</f>
        <v>130408266314691.69</v>
      </c>
      <c r="E480" s="17">
        <f>SQRT(D480*D479)</f>
        <v>129786777791057.94</v>
      </c>
      <c r="F480" s="24">
        <f>E480/$E$507</f>
        <v>0.84499270767445422</v>
      </c>
      <c r="G480" s="24">
        <f>E480/$E$753</f>
        <v>0.2332404073730574</v>
      </c>
    </row>
    <row r="481" spans="1:7" hidden="1" x14ac:dyDescent="0.2">
      <c r="A481" s="4">
        <v>36465</v>
      </c>
      <c r="B481" s="26">
        <f>INPC!B249</f>
        <v>0.94</v>
      </c>
      <c r="C481" s="17">
        <f>C480*(1+B481/100)</f>
        <v>107676158705971.22</v>
      </c>
      <c r="D481" s="17">
        <f>IF(A481&lt;$D$1,C481,C481*1.2225)</f>
        <v>131634104018049.81</v>
      </c>
      <c r="E481" s="17">
        <f>SQRT(D481*D480)</f>
        <v>131019751537245.97</v>
      </c>
      <c r="F481" s="24">
        <f>E481/$E$507</f>
        <v>0.8530201342121575</v>
      </c>
      <c r="G481" s="24">
        <f>E481/$E$753</f>
        <v>0.23545619008787411</v>
      </c>
    </row>
    <row r="482" spans="1:7" hidden="1" x14ac:dyDescent="0.2">
      <c r="A482" s="5">
        <v>36495</v>
      </c>
      <c r="B482" s="26">
        <f>INPC!B250</f>
        <v>0.74</v>
      </c>
      <c r="C482" s="17">
        <f>C481*(1+B482/100)</f>
        <v>108472962280395.41</v>
      </c>
      <c r="D482" s="17">
        <f>IF(A482&lt;$D$1,C482,C482*1.2225)</f>
        <v>132608196387783.38</v>
      </c>
      <c r="E482" s="17">
        <f>SQRT(D482*D481)</f>
        <v>132120252485966.19</v>
      </c>
      <c r="F482" s="24">
        <f>E482/$E$507</f>
        <v>0.86018508038220931</v>
      </c>
      <c r="G482" s="24">
        <f>E482/$E$753</f>
        <v>0.23743390533716682</v>
      </c>
    </row>
    <row r="483" spans="1:7" hidden="1" x14ac:dyDescent="0.2">
      <c r="A483" s="5">
        <v>36526</v>
      </c>
      <c r="B483" s="26">
        <f>INPC!B251</f>
        <v>0.61</v>
      </c>
      <c r="C483" s="17">
        <f>C482*(1+B483/100)</f>
        <v>109134647350305.81</v>
      </c>
      <c r="D483" s="17">
        <f>IF(A483&lt;$D$1,C483,C483*1.2225)</f>
        <v>133417106385748.84</v>
      </c>
      <c r="E483" s="17">
        <f>SQRT(D483*D482)</f>
        <v>133012036466972.3</v>
      </c>
      <c r="F483" s="24">
        <f>E483/$E$507</f>
        <v>0.86599114917901843</v>
      </c>
      <c r="G483" s="24">
        <f>E483/$E$753</f>
        <v>0.23903653437657088</v>
      </c>
    </row>
    <row r="484" spans="1:7" hidden="1" x14ac:dyDescent="0.2">
      <c r="A484" s="4">
        <v>36557</v>
      </c>
      <c r="B484" s="26">
        <f>INPC!B252</f>
        <v>0.05</v>
      </c>
      <c r="C484" s="17">
        <f>C483*(1+B484/100)</f>
        <v>109189214673980.95</v>
      </c>
      <c r="D484" s="17">
        <f>IF(A484&lt;$D$1,C484,C484*1.2225)</f>
        <v>133483814938941.7</v>
      </c>
      <c r="E484" s="17">
        <f>SQRT(D484*D483)</f>
        <v>133450456494102.69</v>
      </c>
      <c r="F484" s="24">
        <f>E484/$E$507</f>
        <v>0.86884553644503115</v>
      </c>
      <c r="G484" s="24">
        <f>E484/$E$753</f>
        <v>0.23982442099698625</v>
      </c>
    </row>
    <row r="485" spans="1:7" hidden="1" x14ac:dyDescent="0.2">
      <c r="A485" s="5">
        <v>36586</v>
      </c>
      <c r="B485" s="26">
        <f>INPC!B253</f>
        <v>0.13</v>
      </c>
      <c r="C485" s="17">
        <f>C484*(1+B485/100)</f>
        <v>109331160653057.14</v>
      </c>
      <c r="D485" s="17">
        <f>IF(A485&lt;$D$1,C485,C485*1.2225)</f>
        <v>133657343898362.34</v>
      </c>
      <c r="E485" s="17">
        <f>SQRT(D485*D484)</f>
        <v>133570551238510.23</v>
      </c>
      <c r="F485" s="24">
        <f>E485/$E$507</f>
        <v>0.86962742798268666</v>
      </c>
      <c r="G485" s="24">
        <f>E485/$E$753</f>
        <v>0.24004024380718095</v>
      </c>
    </row>
    <row r="486" spans="1:7" hidden="1" x14ac:dyDescent="0.2">
      <c r="A486" s="5">
        <v>36617</v>
      </c>
      <c r="B486" s="26">
        <f>INPC!B254</f>
        <v>0.09</v>
      </c>
      <c r="C486" s="17">
        <f>C485*(1+B486/100)</f>
        <v>109429558697644.88</v>
      </c>
      <c r="D486" s="17">
        <f>IF(A486&lt;$D$1,C486,C486*1.2225)</f>
        <v>133777635507870.84</v>
      </c>
      <c r="E486" s="17">
        <f>SQRT(D486*D485)</f>
        <v>133717476176396.86</v>
      </c>
      <c r="F486" s="24">
        <f>E486/$E$507</f>
        <v>0.87058400078002962</v>
      </c>
      <c r="G486" s="24">
        <f>E486/$E$753</f>
        <v>0.24030428327983899</v>
      </c>
    </row>
    <row r="487" spans="1:7" hidden="1" x14ac:dyDescent="0.2">
      <c r="A487" s="5">
        <v>36647</v>
      </c>
      <c r="B487" s="26">
        <f>INPC!B255</f>
        <v>-0.05</v>
      </c>
      <c r="C487" s="17">
        <f>C486*(1+B487/100)</f>
        <v>109374843918296.06</v>
      </c>
      <c r="D487" s="17">
        <f>IF(A487&lt;$D$1,C487,C487*1.2225)</f>
        <v>133710746690116.92</v>
      </c>
      <c r="E487" s="17">
        <f>SQRT(D487*D486)</f>
        <v>133744186917397.31</v>
      </c>
      <c r="F487" s="24">
        <f>E487/$E$507</f>
        <v>0.87075790432972944</v>
      </c>
      <c r="G487" s="24">
        <f>E487/$E$753</f>
        <v>0.24035228527371091</v>
      </c>
    </row>
    <row r="488" spans="1:7" hidden="1" x14ac:dyDescent="0.2">
      <c r="A488" s="4">
        <v>36678</v>
      </c>
      <c r="B488" s="26">
        <f>INPC!B256</f>
        <v>0.3</v>
      </c>
      <c r="C488" s="17">
        <f>C487*(1+B488/100)</f>
        <v>109702968450050.94</v>
      </c>
      <c r="D488" s="17">
        <f>IF(A488&lt;$D$1,C488,C488*1.2225)</f>
        <v>134111878930187.27</v>
      </c>
      <c r="E488" s="17">
        <f>SQRT(D488*D487)</f>
        <v>133911162610776.77</v>
      </c>
      <c r="F488" s="24">
        <f>E488/$E$507</f>
        <v>0.87184502002568776</v>
      </c>
      <c r="G488" s="24">
        <f>E488/$E$753</f>
        <v>0.24065235805006044</v>
      </c>
    </row>
    <row r="489" spans="1:7" x14ac:dyDescent="0.2">
      <c r="A489" s="5">
        <v>36708</v>
      </c>
      <c r="B489" s="26">
        <f>INPC!B257</f>
        <v>1.39</v>
      </c>
      <c r="C489" s="17">
        <f>C488*(1+B489/100)</f>
        <v>111227839711506.64</v>
      </c>
      <c r="D489" s="17">
        <f>IF(A489&lt;$D$1,C489,C489*1.2225)</f>
        <v>135976034047316.86</v>
      </c>
      <c r="E489" s="17">
        <f>SQRT(D489*D488)</f>
        <v>135040739836394.48</v>
      </c>
      <c r="F489" s="24">
        <f>E489/$E$507</f>
        <v>0.87919927085652916</v>
      </c>
      <c r="G489" s="25">
        <f>E489/$E$753</f>
        <v>0.24268232640852103</v>
      </c>
    </row>
    <row r="490" spans="1:7" hidden="1" x14ac:dyDescent="0.2">
      <c r="A490" s="5">
        <v>36739</v>
      </c>
      <c r="B490" s="26">
        <f>INPC!B258</f>
        <v>1.21</v>
      </c>
      <c r="C490" s="17">
        <f>C489*(1+B490/100)</f>
        <v>112573696572015.88</v>
      </c>
      <c r="D490" s="17">
        <f>IF(A490&lt;$D$1,C490,C490*1.2225)</f>
        <v>137621344059289.39</v>
      </c>
      <c r="E490" s="17">
        <f>SQRT(D490*D489)</f>
        <v>136796215464622.56</v>
      </c>
      <c r="F490" s="24">
        <f>E490/$E$507</f>
        <v>0.89062850987146958</v>
      </c>
      <c r="G490" s="24">
        <f>E490/$E$753</f>
        <v>0.24583709962679567</v>
      </c>
    </row>
    <row r="491" spans="1:7" hidden="1" x14ac:dyDescent="0.2">
      <c r="A491" s="5">
        <v>36770</v>
      </c>
      <c r="B491" s="26">
        <f>INPC!B259</f>
        <v>0.43</v>
      </c>
      <c r="C491" s="17">
        <f>C490*(1+B491/100)</f>
        <v>113057763467275.55</v>
      </c>
      <c r="D491" s="17">
        <f>IF(A491&lt;$D$1,C491,C491*1.2225)</f>
        <v>138213115838744.34</v>
      </c>
      <c r="E491" s="17">
        <f>SQRT(D491*D490)</f>
        <v>137916912553719.3</v>
      </c>
      <c r="F491" s="24">
        <f>E491/$E$507</f>
        <v>0.8979249454862227</v>
      </c>
      <c r="G491" s="24">
        <f>E491/$E$753</f>
        <v>0.24785110945161415</v>
      </c>
    </row>
    <row r="492" spans="1:7" hidden="1" x14ac:dyDescent="0.2">
      <c r="A492" s="4">
        <v>36800</v>
      </c>
      <c r="B492" s="26">
        <f>INPC!B260</f>
        <v>0.16</v>
      </c>
      <c r="C492" s="17">
        <f>C491*(1+B492/100)</f>
        <v>113238655888823.19</v>
      </c>
      <c r="D492" s="17">
        <f>IF(A492&lt;$D$1,C492,C492*1.2225)</f>
        <v>138434256824086.34</v>
      </c>
      <c r="E492" s="17">
        <f>SQRT(D492*D491)</f>
        <v>138323642138565.5</v>
      </c>
      <c r="F492" s="24">
        <f>E492/$E$507</f>
        <v>0.90057300824762199</v>
      </c>
      <c r="G492" s="24">
        <f>E492/$E$753</f>
        <v>0.24858204503438147</v>
      </c>
    </row>
    <row r="493" spans="1:7" hidden="1" x14ac:dyDescent="0.2">
      <c r="A493" s="5">
        <v>36831</v>
      </c>
      <c r="B493" s="26">
        <f>INPC!B261</f>
        <v>0.28999999999999998</v>
      </c>
      <c r="C493" s="17">
        <f>C492*(1+B493/100)</f>
        <v>113567047990900.77</v>
      </c>
      <c r="D493" s="17">
        <f>IF(A493&lt;$D$1,C493,C493*1.2225)</f>
        <v>138835716168876.17</v>
      </c>
      <c r="E493" s="17">
        <f>SQRT(D493*D492)</f>
        <v>138634841178104.14</v>
      </c>
      <c r="F493" s="24">
        <f>E493/$E$507</f>
        <v>0.90259910769720364</v>
      </c>
      <c r="G493" s="24">
        <f>E493/$E$753</f>
        <v>0.24914130224063519</v>
      </c>
    </row>
    <row r="494" spans="1:7" hidden="1" x14ac:dyDescent="0.2">
      <c r="A494" s="5">
        <v>36861</v>
      </c>
      <c r="B494" s="26">
        <f>INPC!B262</f>
        <v>0.55000000000000004</v>
      </c>
      <c r="C494" s="17">
        <f>C493*(1+B494/100)</f>
        <v>114191666754850.73</v>
      </c>
      <c r="D494" s="17">
        <f>IF(A494&lt;$D$1,C494,C494*1.2225)</f>
        <v>139599312607805.02</v>
      </c>
      <c r="E494" s="17">
        <f>SQRT(D494*D493)</f>
        <v>139216990854519.73</v>
      </c>
      <c r="F494" s="24">
        <f>E494/$E$507</f>
        <v>0.90638926444289425</v>
      </c>
      <c r="G494" s="24">
        <f>E494/$E$753</f>
        <v>0.250187486066062</v>
      </c>
    </row>
    <row r="495" spans="1:7" hidden="1" x14ac:dyDescent="0.2">
      <c r="A495" s="5">
        <v>36892</v>
      </c>
      <c r="B495" s="26">
        <f>INPC!B263</f>
        <v>0.77</v>
      </c>
      <c r="C495" s="17">
        <f>C494*(1+B495/100)</f>
        <v>115070942588863.09</v>
      </c>
      <c r="D495" s="17">
        <f>IF(A495&lt;$D$1,C495,C495*1.2225)</f>
        <v>140674227314885.12</v>
      </c>
      <c r="E495" s="17">
        <f>SQRT(D495*D494)</f>
        <v>140135739320103.75</v>
      </c>
      <c r="F495" s="24">
        <f>E495/$E$507</f>
        <v>0.91237088881803208</v>
      </c>
      <c r="G495" s="24">
        <f>E495/$E$753</f>
        <v>0.25183857310307256</v>
      </c>
    </row>
    <row r="496" spans="1:7" hidden="1" x14ac:dyDescent="0.2">
      <c r="A496" s="4">
        <v>36923</v>
      </c>
      <c r="B496" s="26">
        <f>INPC!B264</f>
        <v>0.49</v>
      </c>
      <c r="C496" s="17">
        <f>C495*(1+B496/100)</f>
        <v>115634790207548.52</v>
      </c>
      <c r="D496" s="17">
        <f>IF(A496&lt;$D$1,C496,C496*1.2225)</f>
        <v>141363531028728.06</v>
      </c>
      <c r="E496" s="17">
        <f>SQRT(D496*D495)</f>
        <v>141018458004511.25</v>
      </c>
      <c r="F496" s="24">
        <f>E496/$E$507</f>
        <v>0.91811793689139687</v>
      </c>
      <c r="G496" s="24">
        <f>E496/$E$753</f>
        <v>0.25342491085681867</v>
      </c>
    </row>
    <row r="497" spans="1:7" hidden="1" x14ac:dyDescent="0.2">
      <c r="A497" s="5">
        <v>36951</v>
      </c>
      <c r="B497" s="26">
        <f>INPC!B265</f>
        <v>0.48</v>
      </c>
      <c r="C497" s="17">
        <f>C496*(1+B497/100)</f>
        <v>116189837200544.73</v>
      </c>
      <c r="D497" s="17">
        <f>IF(A497&lt;$D$1,C497,C497*1.2225)</f>
        <v>142042075977665.94</v>
      </c>
      <c r="E497" s="17">
        <f>SQRT(D497*D496)</f>
        <v>141702397350410.88</v>
      </c>
      <c r="F497" s="24">
        <f>E497/$E$507</f>
        <v>0.9225708077432121</v>
      </c>
      <c r="G497" s="24">
        <f>E497/$E$753</f>
        <v>0.2546540213592221</v>
      </c>
    </row>
    <row r="498" spans="1:7" hidden="1" x14ac:dyDescent="0.2">
      <c r="A498" s="5">
        <v>36982</v>
      </c>
      <c r="B498" s="26">
        <f>INPC!B266</f>
        <v>0.84</v>
      </c>
      <c r="C498" s="17">
        <f>C497*(1+B498/100)</f>
        <v>117165831833029.31</v>
      </c>
      <c r="D498" s="17">
        <f>IF(A498&lt;$D$1,C498,C498*1.2225)</f>
        <v>143235229415878.31</v>
      </c>
      <c r="E498" s="17">
        <f>SQRT(D498*D497)</f>
        <v>142637405120005.59</v>
      </c>
      <c r="F498" s="24">
        <f>E498/$E$507</f>
        <v>0.92865829030787228</v>
      </c>
      <c r="G498" s="24">
        <f>E498/$E$753</f>
        <v>0.25633432806525908</v>
      </c>
    </row>
    <row r="499" spans="1:7" hidden="1" x14ac:dyDescent="0.2">
      <c r="A499" s="4">
        <v>37012</v>
      </c>
      <c r="B499" s="26">
        <f>INPC!B267</f>
        <v>0.56999999999999995</v>
      </c>
      <c r="C499" s="17">
        <f>C498*(1+B499/100)</f>
        <v>117833677074477.58</v>
      </c>
      <c r="D499" s="17">
        <f>IF(A499&lt;$D$1,C499,C499*1.2225)</f>
        <v>144051670223548.84</v>
      </c>
      <c r="E499" s="17">
        <f>SQRT(D499*D498)</f>
        <v>143642869757640.47</v>
      </c>
      <c r="F499" s="24">
        <f>E499/$E$507</f>
        <v>0.93520449093852343</v>
      </c>
      <c r="G499" s="24">
        <f>E499/$E$753</f>
        <v>0.25814125312860187</v>
      </c>
    </row>
    <row r="500" spans="1:7" hidden="1" x14ac:dyDescent="0.2">
      <c r="A500" s="5">
        <v>37043</v>
      </c>
      <c r="B500" s="26">
        <f>INPC!B268</f>
        <v>0.6</v>
      </c>
      <c r="C500" s="17">
        <f>C499*(1+B500/100)</f>
        <v>118540679136924.44</v>
      </c>
      <c r="D500" s="17">
        <f>IF(A500&lt;$D$1,C500,C500*1.2225)</f>
        <v>144915980244890.12</v>
      </c>
      <c r="E500" s="17">
        <f>SQRT(D500*D499)</f>
        <v>144483178939138.91</v>
      </c>
      <c r="F500" s="24">
        <f>E500/$E$507</f>
        <v>0.94067542675065352</v>
      </c>
      <c r="G500" s="24">
        <f>E500/$E$753</f>
        <v>0.25965137657220522</v>
      </c>
    </row>
    <row r="501" spans="1:7" hidden="1" x14ac:dyDescent="0.2">
      <c r="A501" s="5">
        <v>37073</v>
      </c>
      <c r="B501" s="26">
        <f>INPC!B269</f>
        <v>1.1100000000000001</v>
      </c>
      <c r="C501" s="17">
        <f>C500*(1+B501/100)</f>
        <v>119856480675344.31</v>
      </c>
      <c r="D501" s="17">
        <f>IF(A501&lt;$D$1,C501,C501*1.2225)</f>
        <v>146524547625608.41</v>
      </c>
      <c r="E501" s="17">
        <f>SQRT(D501*D500)</f>
        <v>145718044349710.28</v>
      </c>
      <c r="F501" s="24">
        <f>E501/$E$507</f>
        <v>0.94871516920093668</v>
      </c>
      <c r="G501" s="24">
        <f>E501/$E$753</f>
        <v>0.26187055880567006</v>
      </c>
    </row>
    <row r="502" spans="1:7" hidden="1" x14ac:dyDescent="0.2">
      <c r="A502" s="5">
        <v>37104</v>
      </c>
      <c r="B502" s="26">
        <f>INPC!B270</f>
        <v>0.79</v>
      </c>
      <c r="C502" s="17">
        <f>C501*(1+B502/100)</f>
        <v>120803346872679.53</v>
      </c>
      <c r="D502" s="17">
        <f>IF(A502&lt;$D$1,C502,C502*1.2225)</f>
        <v>147682091551850.72</v>
      </c>
      <c r="E502" s="17">
        <f>SQRT(D502*D501)</f>
        <v>147102181007076.22</v>
      </c>
      <c r="F502" s="24">
        <f>E502/$E$507</f>
        <v>0.95772676037998583</v>
      </c>
      <c r="G502" s="24">
        <f>E502/$E$753</f>
        <v>0.26435799707417956</v>
      </c>
    </row>
    <row r="503" spans="1:7" hidden="1" x14ac:dyDescent="0.2">
      <c r="A503" s="4">
        <v>37135</v>
      </c>
      <c r="B503" s="26">
        <f>INPC!B271</f>
        <v>0.44</v>
      </c>
      <c r="C503" s="17">
        <f>C502*(1+B503/100)</f>
        <v>121334881598919.31</v>
      </c>
      <c r="D503" s="17">
        <f>IF(A503&lt;$D$1,C503,C503*1.2225)</f>
        <v>148331892754678.84</v>
      </c>
      <c r="E503" s="17">
        <f>SQRT(D503*D502)</f>
        <v>148006635546707.12</v>
      </c>
      <c r="F503" s="24">
        <f>E503/$E$507</f>
        <v>0.96361532240008263</v>
      </c>
      <c r="G503" s="24">
        <f>E503/$E$753</f>
        <v>0.26598339643199037</v>
      </c>
    </row>
    <row r="504" spans="1:7" hidden="1" x14ac:dyDescent="0.2">
      <c r="A504" s="5">
        <v>37165</v>
      </c>
      <c r="B504" s="26">
        <f>INPC!B272</f>
        <v>0.94</v>
      </c>
      <c r="C504" s="17">
        <f>C503*(1+B504/100)</f>
        <v>122475429485949.16</v>
      </c>
      <c r="D504" s="17">
        <f>IF(A504&lt;$D$1,C504,C504*1.2225)</f>
        <v>149726212546572.84</v>
      </c>
      <c r="E504" s="17">
        <f>SQRT(D504*D503)</f>
        <v>149027421980058.72</v>
      </c>
      <c r="F504" s="24">
        <f>E504/$E$507</f>
        <v>0.97026127745772139</v>
      </c>
      <c r="G504" s="24">
        <f>E504/$E$753</f>
        <v>0.26781785636394978</v>
      </c>
    </row>
    <row r="505" spans="1:7" hidden="1" x14ac:dyDescent="0.2">
      <c r="A505" s="5">
        <v>37196</v>
      </c>
      <c r="B505" s="26">
        <f>INPC!B273</f>
        <v>1.29</v>
      </c>
      <c r="C505" s="17">
        <f>C504*(1+B505/100)</f>
        <v>124055362526317.89</v>
      </c>
      <c r="D505" s="17">
        <f>IF(A505&lt;$D$1,C505,C505*1.2225)</f>
        <v>151657680688423.62</v>
      </c>
      <c r="E505" s="17">
        <f>SQRT(D505*D504)</f>
        <v>150688852053080.53</v>
      </c>
      <c r="F505" s="24">
        <f>E505/$E$507</f>
        <v>0.98107822137071832</v>
      </c>
      <c r="G505" s="24">
        <f>E505/$E$753</f>
        <v>0.2708036198881611</v>
      </c>
    </row>
    <row r="506" spans="1:7" hidden="1" x14ac:dyDescent="0.2">
      <c r="A506" s="5">
        <v>37226</v>
      </c>
      <c r="B506" s="26">
        <f>INPC!B274</f>
        <v>0.74</v>
      </c>
      <c r="C506" s="17">
        <f>C505*(1+B506/100)</f>
        <v>124973372209012.66</v>
      </c>
      <c r="D506" s="17">
        <f>IF(A506&lt;$D$1,C506,C506*1.2225)</f>
        <v>152779947525517.97</v>
      </c>
      <c r="E506" s="17">
        <f>SQRT(D506*D505)</f>
        <v>152217779833431.81</v>
      </c>
      <c r="F506" s="24">
        <f>E506/$E$507</f>
        <v>0.99103249288393502</v>
      </c>
      <c r="G506" s="24">
        <f>E506/$E$753</f>
        <v>0.27355126294088572</v>
      </c>
    </row>
    <row r="507" spans="1:7" hidden="1" x14ac:dyDescent="0.2">
      <c r="A507" s="4">
        <v>37257</v>
      </c>
      <c r="B507" s="26">
        <f>INPC!B275</f>
        <v>1.07</v>
      </c>
      <c r="C507" s="17">
        <f>C506*(1+B507/100)</f>
        <v>126310587291649.08</v>
      </c>
      <c r="D507" s="17">
        <f>IF(A507&lt;$D$1,C507,C507*1.2225)</f>
        <v>154414692964041</v>
      </c>
      <c r="E507" s="17">
        <f>SQRT(D507*D506)</f>
        <v>153595145392734.19</v>
      </c>
      <c r="F507" s="24">
        <f>E507/$E$507</f>
        <v>1</v>
      </c>
      <c r="G507" s="24">
        <f>E507/$E$753</f>
        <v>0.27602653283833622</v>
      </c>
    </row>
    <row r="508" spans="1:7" hidden="1" x14ac:dyDescent="0.2">
      <c r="A508" s="5">
        <v>37288</v>
      </c>
      <c r="B508" s="26">
        <f>INPC!B276</f>
        <v>0.31</v>
      </c>
      <c r="C508" s="17">
        <f>C507*(1+B508/100)</f>
        <v>126702150112253.2</v>
      </c>
      <c r="D508" s="17">
        <f>IF(A508&lt;$D$1,C508,C508*1.2225)</f>
        <v>154893378512229.53</v>
      </c>
      <c r="E508" s="17">
        <f>SQRT(D508*D507)</f>
        <v>154653850534440</v>
      </c>
      <c r="F508" s="24">
        <f>E508/$E$507</f>
        <v>1.0068928294510791</v>
      </c>
      <c r="G508" s="24">
        <f>E508/$E$753</f>
        <v>0.2779291366531636</v>
      </c>
    </row>
    <row r="509" spans="1:7" hidden="1" x14ac:dyDescent="0.2">
      <c r="A509" s="5">
        <v>37316</v>
      </c>
      <c r="B509" s="26">
        <f>INPC!B277</f>
        <v>0.62</v>
      </c>
      <c r="C509" s="17">
        <f>C508*(1+B509/100)</f>
        <v>127487703442949.17</v>
      </c>
      <c r="D509" s="17">
        <f>IF(A509&lt;$D$1,C509,C509*1.2225)</f>
        <v>155853717459005.34</v>
      </c>
      <c r="E509" s="17">
        <f>SQRT(D509*D508)</f>
        <v>155372806021246.19</v>
      </c>
      <c r="F509" s="24">
        <f>E509/$E$507</f>
        <v>1.0115736771755814</v>
      </c>
      <c r="G509" s="24">
        <f>E509/$E$753</f>
        <v>0.27922117482130215</v>
      </c>
    </row>
    <row r="510" spans="1:7" hidden="1" x14ac:dyDescent="0.2">
      <c r="A510" s="5">
        <v>37347</v>
      </c>
      <c r="B510" s="26">
        <f>INPC!B278</f>
        <v>0.68</v>
      </c>
      <c r="C510" s="17">
        <f>C509*(1+B510/100)</f>
        <v>128354619826361.22</v>
      </c>
      <c r="D510" s="17">
        <f>IF(A510&lt;$D$1,C510,C510*1.2225)</f>
        <v>156913522737726.59</v>
      </c>
      <c r="E510" s="17">
        <f>SQRT(D510*D509)</f>
        <v>156382722313760.91</v>
      </c>
      <c r="F510" s="24">
        <f>E510/$E$507</f>
        <v>1.0181488608503806</v>
      </c>
      <c r="G510" s="24">
        <f>E510/$E$753</f>
        <v>0.28103609997383222</v>
      </c>
    </row>
    <row r="511" spans="1:7" hidden="1" x14ac:dyDescent="0.2">
      <c r="A511" s="4">
        <v>37377</v>
      </c>
      <c r="B511" s="26">
        <f>INPC!B279</f>
        <v>0.09</v>
      </c>
      <c r="C511" s="17">
        <f>C510*(1+B511/100)</f>
        <v>128470138984204.94</v>
      </c>
      <c r="D511" s="17">
        <f>IF(A511&lt;$D$1,C511,C511*1.2225)</f>
        <v>157054744908190.53</v>
      </c>
      <c r="E511" s="17">
        <f>SQRT(D511*D510)</f>
        <v>156984117942609.75</v>
      </c>
      <c r="F511" s="24">
        <f>E511/$E$507</f>
        <v>1.0220643207258286</v>
      </c>
      <c r="G511" s="24">
        <f>E511/$E$753</f>
        <v>0.28211687078771974</v>
      </c>
    </row>
    <row r="512" spans="1:7" hidden="1" x14ac:dyDescent="0.2">
      <c r="A512" s="5">
        <v>37408</v>
      </c>
      <c r="B512" s="26">
        <f>INPC!B280</f>
        <v>0.61</v>
      </c>
      <c r="C512" s="17">
        <f>C511*(1+B512/100)</f>
        <v>129253806832008.59</v>
      </c>
      <c r="D512" s="17">
        <f>IF(A512&lt;$D$1,C512,C512*1.2225)</f>
        <v>158012778852130.5</v>
      </c>
      <c r="E512" s="17">
        <f>SQRT(D512*D511)</f>
        <v>157533033598847.72</v>
      </c>
      <c r="F512" s="24">
        <f>E512/$E$507</f>
        <v>1.0256381033140376</v>
      </c>
      <c r="G512" s="24">
        <f>E512/$E$753</f>
        <v>0.28310332960466106</v>
      </c>
    </row>
    <row r="513" spans="1:7" hidden="1" x14ac:dyDescent="0.2">
      <c r="A513" s="5">
        <v>37438</v>
      </c>
      <c r="B513" s="26">
        <f>INPC!B281</f>
        <v>1.1499999999999999</v>
      </c>
      <c r="C513" s="17">
        <f>C512*(1+B513/100)</f>
        <v>130740225610576.7</v>
      </c>
      <c r="D513" s="17">
        <f>IF(A513&lt;$D$1,C513,C513*1.2225)</f>
        <v>159829925808930</v>
      </c>
      <c r="E513" s="17">
        <f>SQRT(D513*D512)</f>
        <v>158918755094541.56</v>
      </c>
      <c r="F513" s="24">
        <f>E513/$E$507</f>
        <v>1.0346600127770653</v>
      </c>
      <c r="G513" s="24">
        <f>E513/$E$753</f>
        <v>0.285593615993322</v>
      </c>
    </row>
    <row r="514" spans="1:7" hidden="1" x14ac:dyDescent="0.2">
      <c r="A514" s="4">
        <v>37469</v>
      </c>
      <c r="B514" s="26">
        <f>INPC!B282</f>
        <v>0.86</v>
      </c>
      <c r="C514" s="17">
        <f>C513*(1+B514/100)</f>
        <v>131864591550827.66</v>
      </c>
      <c r="D514" s="17">
        <f>IF(A514&lt;$D$1,C514,C514*1.2225)</f>
        <v>161204463170886.81</v>
      </c>
      <c r="E514" s="17">
        <f>SQRT(D514*D513)</f>
        <v>160515723182095.88</v>
      </c>
      <c r="F514" s="24">
        <f>E514/$E$507</f>
        <v>1.0450572690410636</v>
      </c>
      <c r="G514" s="24">
        <f>E514/$E$753</f>
        <v>0.28846353459090512</v>
      </c>
    </row>
    <row r="515" spans="1:7" hidden="1" x14ac:dyDescent="0.2">
      <c r="A515" s="5">
        <v>37500</v>
      </c>
      <c r="B515" s="26">
        <f>INPC!B283</f>
        <v>0.83</v>
      </c>
      <c r="C515" s="17">
        <f>C514*(1+B515/100)</f>
        <v>132959067660699.52</v>
      </c>
      <c r="D515" s="17">
        <f>IF(A515&lt;$D$1,C515,C515*1.2225)</f>
        <v>162542460215205.16</v>
      </c>
      <c r="E515" s="17">
        <f>SQRT(D515*D514)</f>
        <v>161872079252313.84</v>
      </c>
      <c r="F515" s="24">
        <f>E515/$E$507</f>
        <v>1.0538879913060795</v>
      </c>
      <c r="G515" s="24">
        <f>E515/$E$753</f>
        <v>0.29090104824017576</v>
      </c>
    </row>
    <row r="516" spans="1:7" hidden="1" x14ac:dyDescent="0.2">
      <c r="A516" s="5">
        <v>37530</v>
      </c>
      <c r="B516" s="26">
        <f>INPC!B284</f>
        <v>1.57</v>
      </c>
      <c r="C516" s="17">
        <f>C515*(1+B516/100)</f>
        <v>135046525022972.5</v>
      </c>
      <c r="D516" s="17">
        <f>IF(A516&lt;$D$1,C516,C516*1.2225)</f>
        <v>165094376840583.88</v>
      </c>
      <c r="E516" s="17">
        <f>SQRT(D516*D515)</f>
        <v>163813449323810.69</v>
      </c>
      <c r="F516" s="24">
        <f>E516/$E$507</f>
        <v>1.0665275188545111</v>
      </c>
      <c r="G516" s="24">
        <f>E516/$E$753</f>
        <v>0.294389893206084</v>
      </c>
    </row>
    <row r="517" spans="1:7" hidden="1" x14ac:dyDescent="0.2">
      <c r="A517" s="5">
        <v>37561</v>
      </c>
      <c r="B517" s="26">
        <f>INPC!B285</f>
        <v>3.39</v>
      </c>
      <c r="C517" s="17">
        <f>C516*(1+B517/100)</f>
        <v>139624602221251.27</v>
      </c>
      <c r="D517" s="17">
        <f>IF(A517&lt;$D$1,C517,C517*1.2225)</f>
        <v>170691076215479.66</v>
      </c>
      <c r="E517" s="17">
        <f>SQRT(D517*D516)</f>
        <v>167869404180878.72</v>
      </c>
      <c r="F517" s="24">
        <f>E517/$E$507</f>
        <v>1.0929343095554618</v>
      </c>
      <c r="G517" s="24">
        <f>E517/$E$753</f>
        <v>0.30167886808665506</v>
      </c>
    </row>
    <row r="518" spans="1:7" hidden="1" x14ac:dyDescent="0.2">
      <c r="A518" s="4">
        <v>37591</v>
      </c>
      <c r="B518" s="26">
        <f>INPC!B286</f>
        <v>2.7</v>
      </c>
      <c r="C518" s="17">
        <f>C517*(1+B518/100)</f>
        <v>143394466481225.03</v>
      </c>
      <c r="D518" s="17">
        <f>IF(A518&lt;$D$1,C518,C518*1.2225)</f>
        <v>175299735273297.59</v>
      </c>
      <c r="E518" s="17">
        <f>SQRT(D518*D517)</f>
        <v>172980058024293.22</v>
      </c>
      <c r="F518" s="24">
        <f>E518/$E$507</f>
        <v>1.1262078471425181</v>
      </c>
      <c r="G518" s="24">
        <f>E518/$E$753</f>
        <v>0.31086324730207621</v>
      </c>
    </row>
    <row r="519" spans="1:7" hidden="1" x14ac:dyDescent="0.2">
      <c r="A519" s="5">
        <v>37622</v>
      </c>
      <c r="B519" s="26">
        <f>INPC!B287</f>
        <v>2.4700000000000002</v>
      </c>
      <c r="C519" s="17">
        <f>C518*(1+B519/100)</f>
        <v>146936309803311.28</v>
      </c>
      <c r="D519" s="17">
        <f>IF(A519&lt;$D$1,C519,C519*1.2225)</f>
        <v>179629638734548.03</v>
      </c>
      <c r="E519" s="17">
        <f>SQRT(D519*D518)</f>
        <v>177451481023417.66</v>
      </c>
      <c r="F519" s="24">
        <f>E519/$E$507</f>
        <v>1.1553195940515186</v>
      </c>
      <c r="G519" s="24">
        <f>E519/$E$753</f>
        <v>0.31889886186623484</v>
      </c>
    </row>
    <row r="520" spans="1:7" hidden="1" x14ac:dyDescent="0.2">
      <c r="A520" s="5">
        <v>37653</v>
      </c>
      <c r="B520" s="26">
        <f>INPC!B288</f>
        <v>1.46</v>
      </c>
      <c r="C520" s="17">
        <f>C519*(1+B520/100)</f>
        <v>149081579926439.62</v>
      </c>
      <c r="D520" s="17">
        <f>IF(A520&lt;$D$1,C520,C520*1.2225)</f>
        <v>182252231460072.44</v>
      </c>
      <c r="E520" s="17">
        <f>SQRT(D520*D519)</f>
        <v>180936183489477.97</v>
      </c>
      <c r="F520" s="24">
        <f>E520/$E$507</f>
        <v>1.1780071761176714</v>
      </c>
      <c r="G520" s="24">
        <f>E520/$E$753</f>
        <v>0.32516123648244016</v>
      </c>
    </row>
    <row r="521" spans="1:7" hidden="1" x14ac:dyDescent="0.2">
      <c r="A521" s="5">
        <v>37681</v>
      </c>
      <c r="B521" s="26">
        <f>INPC!B289</f>
        <v>1.37</v>
      </c>
      <c r="C521" s="17">
        <f>C520*(1+B521/100)</f>
        <v>151123997571431.84</v>
      </c>
      <c r="D521" s="17">
        <f>IF(A521&lt;$D$1,C521,C521*1.2225)</f>
        <v>184749087031075.41</v>
      </c>
      <c r="E521" s="17">
        <f>SQRT(D521*D520)</f>
        <v>183496412421672.75</v>
      </c>
      <c r="F521" s="24">
        <f>E521/$E$507</f>
        <v>1.1946758600506722</v>
      </c>
      <c r="G521" s="24">
        <f>E521/$E$753</f>
        <v>0.32976223551544448</v>
      </c>
    </row>
    <row r="522" spans="1:7" hidden="1" x14ac:dyDescent="0.2">
      <c r="A522" s="4">
        <v>37712</v>
      </c>
      <c r="B522" s="26">
        <f>INPC!B290</f>
        <v>1.38</v>
      </c>
      <c r="C522" s="17">
        <f>C521*(1+B522/100)</f>
        <v>153209508737917.59</v>
      </c>
      <c r="D522" s="17">
        <f>IF(A522&lt;$D$1,C522,C522*1.2225)</f>
        <v>187298624432104.25</v>
      </c>
      <c r="E522" s="17">
        <f>SQRT(D522*D521)</f>
        <v>186019487866211.31</v>
      </c>
      <c r="F522" s="24">
        <f>E522/$E$507</f>
        <v>1.211102651653279</v>
      </c>
      <c r="G522" s="24">
        <f>E522/$E$753</f>
        <v>0.33429646584716993</v>
      </c>
    </row>
    <row r="523" spans="1:7" hidden="1" x14ac:dyDescent="0.2">
      <c r="A523" s="5">
        <v>37742</v>
      </c>
      <c r="B523" s="26">
        <f>INPC!B291</f>
        <v>0.99</v>
      </c>
      <c r="C523" s="17">
        <f>C522*(1+B523/100)</f>
        <v>154726282874422.97</v>
      </c>
      <c r="D523" s="17">
        <f>IF(A523&lt;$D$1,C523,C523*1.2225)</f>
        <v>189152880813982.06</v>
      </c>
      <c r="E523" s="17">
        <f>SQRT(D523*D522)</f>
        <v>188223469269452.69</v>
      </c>
      <c r="F523" s="24">
        <f>E523/$E$507</f>
        <v>1.2254519424307051</v>
      </c>
      <c r="G523" s="24">
        <f>E523/$E$753</f>
        <v>0.33825725082915198</v>
      </c>
    </row>
    <row r="524" spans="1:7" hidden="1" x14ac:dyDescent="0.2">
      <c r="A524" s="5">
        <v>37773</v>
      </c>
      <c r="B524" s="26">
        <f>INPC!B292</f>
        <v>-0.06</v>
      </c>
      <c r="C524" s="17">
        <f>C523*(1+B524/100)</f>
        <v>154633447104698.31</v>
      </c>
      <c r="D524" s="17">
        <f>IF(A524&lt;$D$1,C524,C524*1.2225)</f>
        <v>189039389085493.69</v>
      </c>
      <c r="E524" s="17">
        <f>SQRT(D524*D523)</f>
        <v>189096126435303.72</v>
      </c>
      <c r="F524" s="24">
        <f>E524/$E$507</f>
        <v>1.2311334837555934</v>
      </c>
      <c r="G524" s="24">
        <f>E524/$E$753</f>
        <v>0.33982550698223862</v>
      </c>
    </row>
    <row r="525" spans="1:7" hidden="1" x14ac:dyDescent="0.2">
      <c r="A525" s="5">
        <v>37803</v>
      </c>
      <c r="B525" s="26">
        <f>INPC!B293</f>
        <v>0.04</v>
      </c>
      <c r="C525" s="17">
        <f>C524*(1+B525/100)</f>
        <v>154695300483540.19</v>
      </c>
      <c r="D525" s="17">
        <f>IF(A525&lt;$D$1,C525,C525*1.2225)</f>
        <v>189115004841127.88</v>
      </c>
      <c r="E525" s="17">
        <f>SQRT(D525*D524)</f>
        <v>189077193183278.97</v>
      </c>
      <c r="F525" s="24">
        <f>E525/$E$507</f>
        <v>1.231010216500132</v>
      </c>
      <c r="G525" s="24">
        <f>E525/$E$753</f>
        <v>0.33979148194910108</v>
      </c>
    </row>
    <row r="526" spans="1:7" hidden="1" x14ac:dyDescent="0.2">
      <c r="A526" s="4">
        <v>37834</v>
      </c>
      <c r="B526" s="26">
        <f>INPC!B294</f>
        <v>0.18</v>
      </c>
      <c r="C526" s="17">
        <f>C525*(1+B526/100)</f>
        <v>154973752024410.56</v>
      </c>
      <c r="D526" s="17">
        <f>IF(A526&lt;$D$1,C526,C526*1.2225)</f>
        <v>189455411849841.91</v>
      </c>
      <c r="E526" s="17">
        <f>SQRT(D526*D525)</f>
        <v>189285131822762.91</v>
      </c>
      <c r="F526" s="24">
        <f>E526/$E$507</f>
        <v>1.2323640264721349</v>
      </c>
      <c r="G526" s="24">
        <f>E526/$E$753</f>
        <v>0.34016516942179509</v>
      </c>
    </row>
    <row r="527" spans="1:7" hidden="1" x14ac:dyDescent="0.2">
      <c r="A527" s="5">
        <v>37865</v>
      </c>
      <c r="B527" s="26">
        <f>INPC!B295</f>
        <v>0.82</v>
      </c>
      <c r="C527" s="17">
        <f>C526*(1+B527/100)</f>
        <v>156244536791010.72</v>
      </c>
      <c r="D527" s="17">
        <f>IF(A527&lt;$D$1,C527,C527*1.2225)</f>
        <v>191008946227010.59</v>
      </c>
      <c r="E527" s="17">
        <f>SQRT(D527*D526)</f>
        <v>190230593161149.03</v>
      </c>
      <c r="F527" s="24">
        <f>E527/$E$507</f>
        <v>1.2385195682763284</v>
      </c>
      <c r="G527" s="24">
        <f>E527/$E$753</f>
        <v>0.341864262283748</v>
      </c>
    </row>
    <row r="528" spans="1:7" hidden="1" x14ac:dyDescent="0.2">
      <c r="A528" s="5">
        <v>37895</v>
      </c>
      <c r="B528" s="26">
        <f>INPC!B296</f>
        <v>0.39</v>
      </c>
      <c r="C528" s="17">
        <f>C527*(1+B528/100)</f>
        <v>156853890484495.66</v>
      </c>
      <c r="D528" s="17">
        <f>IF(A528&lt;$D$1,C528,C528*1.2225)</f>
        <v>191753881117295.94</v>
      </c>
      <c r="E528" s="17">
        <f>SQRT(D528*D527)</f>
        <v>191381051222826.56</v>
      </c>
      <c r="F528" s="24">
        <f>E528/$E$507</f>
        <v>1.2460097663469503</v>
      </c>
      <c r="G528" s="24">
        <f>E528/$E$753</f>
        <v>0.3439317556874541</v>
      </c>
    </row>
    <row r="529" spans="1:7" hidden="1" x14ac:dyDescent="0.2">
      <c r="A529" s="4">
        <v>37926</v>
      </c>
      <c r="B529" s="26">
        <f>INPC!B297</f>
        <v>0.37</v>
      </c>
      <c r="C529" s="17">
        <f>C528*(1+B529/100)</f>
        <v>157434249879288.28</v>
      </c>
      <c r="D529" s="17">
        <f>IF(A529&lt;$D$1,C529,C529*1.2225)</f>
        <v>192463370477429.91</v>
      </c>
      <c r="E529" s="17">
        <f>SQRT(D529*D528)</f>
        <v>192108298264190.5</v>
      </c>
      <c r="F529" s="24">
        <f>E529/$E$507</f>
        <v>1.2507445972526041</v>
      </c>
      <c r="G529" s="24">
        <f>E529/$E$753</f>
        <v>0.34523869464591761</v>
      </c>
    </row>
    <row r="530" spans="1:7" hidden="1" x14ac:dyDescent="0.2">
      <c r="A530" s="5">
        <v>37956</v>
      </c>
      <c r="B530" s="26">
        <f>INPC!B298</f>
        <v>0.54</v>
      </c>
      <c r="C530" s="17">
        <f>C529*(1+B530/100)</f>
        <v>158284394828636.44</v>
      </c>
      <c r="D530" s="17">
        <f>IF(A530&lt;$D$1,C530,C530*1.2225)</f>
        <v>193502672678008.03</v>
      </c>
      <c r="E530" s="17">
        <f>SQRT(D530*D529)</f>
        <v>192982321936493.22</v>
      </c>
      <c r="F530" s="24">
        <f>E530/$E$507</f>
        <v>1.2564350353850586</v>
      </c>
      <c r="G530" s="24">
        <f>E530/$E$753</f>
        <v>0.34680940655395009</v>
      </c>
    </row>
    <row r="531" spans="1:7" hidden="1" x14ac:dyDescent="0.2">
      <c r="A531" s="5">
        <v>37987</v>
      </c>
      <c r="B531" s="26">
        <f>INPC!B299</f>
        <v>0.83</v>
      </c>
      <c r="C531" s="17">
        <f>C530*(1+B531/100)</f>
        <v>159598155305714.12</v>
      </c>
      <c r="D531" s="17">
        <f>IF(A531&lt;$D$1,C531,C531*1.2225)</f>
        <v>195108744861235.5</v>
      </c>
      <c r="E531" s="17">
        <f>SQRT(D531*D530)</f>
        <v>194304049349211.03</v>
      </c>
      <c r="F531" s="24">
        <f>E531/$E$507</f>
        <v>1.2650403035355477</v>
      </c>
      <c r="G531" s="24">
        <f>E531/$E$753</f>
        <v>0.34918468888567372</v>
      </c>
    </row>
    <row r="532" spans="1:7" hidden="1" x14ac:dyDescent="0.2">
      <c r="A532" s="5">
        <v>38018</v>
      </c>
      <c r="B532" s="26">
        <f>INPC!B300</f>
        <v>0.39</v>
      </c>
      <c r="C532" s="17">
        <f>C531*(1+B532/100)</f>
        <v>160220588111406.41</v>
      </c>
      <c r="D532" s="17">
        <f>IF(A532&lt;$D$1,C532,C532*1.2225)</f>
        <v>195869668966194.31</v>
      </c>
      <c r="E532" s="17">
        <f>SQRT(D532*D531)</f>
        <v>195488836684808.84</v>
      </c>
      <c r="F532" s="24">
        <f>E532/$E$507</f>
        <v>1.2727540065472436</v>
      </c>
      <c r="G532" s="24">
        <f>E532/$E$753</f>
        <v>0.35131387558333677</v>
      </c>
    </row>
    <row r="533" spans="1:7" hidden="1" x14ac:dyDescent="0.2">
      <c r="A533" s="4">
        <v>38047</v>
      </c>
      <c r="B533" s="26">
        <f>INPC!B301</f>
        <v>0.56999999999999995</v>
      </c>
      <c r="C533" s="17">
        <f>C532*(1+B533/100)</f>
        <v>161133845463641.44</v>
      </c>
      <c r="D533" s="17">
        <f>IF(A533&lt;$D$1,C533,C533*1.2225)</f>
        <v>196986126079301.66</v>
      </c>
      <c r="E533" s="17">
        <f>SQRT(D533*D532)</f>
        <v>196427104306116.16</v>
      </c>
      <c r="F533" s="24">
        <f>E533/$E$507</f>
        <v>1.2788627127756091</v>
      </c>
      <c r="G533" s="24">
        <f>E533/$E$753</f>
        <v>0.35300004058368045</v>
      </c>
    </row>
    <row r="534" spans="1:7" hidden="1" x14ac:dyDescent="0.2">
      <c r="A534" s="5">
        <v>38078</v>
      </c>
      <c r="B534" s="26">
        <f>INPC!B302</f>
        <v>0.41</v>
      </c>
      <c r="C534" s="17">
        <f>C533*(1+B534/100)</f>
        <v>161794494230042.38</v>
      </c>
      <c r="D534" s="17">
        <f>IF(A534&lt;$D$1,C534,C534*1.2225)</f>
        <v>197793769196226.78</v>
      </c>
      <c r="E534" s="17">
        <f>SQRT(D534*D533)</f>
        <v>197389534567028.72</v>
      </c>
      <c r="F534" s="24">
        <f>E534/$E$507</f>
        <v>1.285128732827556</v>
      </c>
      <c r="G534" s="24">
        <f>E534/$E$753</f>
        <v>0.35472962837331484</v>
      </c>
    </row>
    <row r="535" spans="1:7" hidden="1" x14ac:dyDescent="0.2">
      <c r="A535" s="5">
        <v>38108</v>
      </c>
      <c r="B535" s="26">
        <f>INPC!B303</f>
        <v>0.4</v>
      </c>
      <c r="C535" s="17">
        <f>C534*(1+B535/100)</f>
        <v>162441672206962.53</v>
      </c>
      <c r="D535" s="17">
        <f>IF(A535&lt;$D$1,C535,C535*1.2225)</f>
        <v>198584944273011.69</v>
      </c>
      <c r="E535" s="17">
        <f>SQRT(D535*D534)</f>
        <v>198188961936283.5</v>
      </c>
      <c r="F535" s="24">
        <f>E535/$E$507</f>
        <v>1.2903335025955762</v>
      </c>
      <c r="G535" s="24">
        <f>E535/$E$753</f>
        <v>0.35616628292660329</v>
      </c>
    </row>
    <row r="536" spans="1:7" hidden="1" x14ac:dyDescent="0.2">
      <c r="A536" s="5">
        <v>38139</v>
      </c>
      <c r="B536" s="26">
        <f>INPC!B304</f>
        <v>0.5</v>
      </c>
      <c r="C536" s="17">
        <f>C535*(1+B536/100)</f>
        <v>163253880567997.31</v>
      </c>
      <c r="D536" s="17">
        <f>IF(A536&lt;$D$1,C536,C536*1.2225)</f>
        <v>199577868994376.69</v>
      </c>
      <c r="E536" s="17">
        <f>SQRT(D536*D535)</f>
        <v>199080787602356.84</v>
      </c>
      <c r="F536" s="24">
        <f>E536/$E$507</f>
        <v>1.2961398427881194</v>
      </c>
      <c r="G536" s="24">
        <f>E536/$E$753</f>
        <v>0.35776898687843084</v>
      </c>
    </row>
    <row r="537" spans="1:7" hidden="1" x14ac:dyDescent="0.2">
      <c r="A537" s="4">
        <v>38169</v>
      </c>
      <c r="B537" s="26">
        <f>INPC!B305</f>
        <v>0.73</v>
      </c>
      <c r="C537" s="17">
        <f>C536*(1+B537/100)</f>
        <v>164445633896143.72</v>
      </c>
      <c r="D537" s="17">
        <f>IF(A537&lt;$D$1,C537,C537*1.2225)</f>
        <v>201034787438035.69</v>
      </c>
      <c r="E537" s="17">
        <f>SQRT(D537*D536)</f>
        <v>200305003608548.56</v>
      </c>
      <c r="F537" s="24">
        <f>E537/$E$507</f>
        <v>1.3041102509872944</v>
      </c>
      <c r="G537" s="24">
        <f>E537/$E$753</f>
        <v>0.35996903101895533</v>
      </c>
    </row>
    <row r="538" spans="1:7" hidden="1" x14ac:dyDescent="0.2">
      <c r="A538" s="5">
        <v>38200</v>
      </c>
      <c r="B538" s="26">
        <f>INPC!B306</f>
        <v>0.5</v>
      </c>
      <c r="C538" s="17">
        <f>C537*(1+B538/100)</f>
        <v>165267862065624.41</v>
      </c>
      <c r="D538" s="17">
        <f>IF(A538&lt;$D$1,C538,C538*1.2225)</f>
        <v>202039961375225.81</v>
      </c>
      <c r="E538" s="17">
        <f>SQRT(D538*D537)</f>
        <v>201536747738613.31</v>
      </c>
      <c r="F538" s="24">
        <f>E538/$E$507</f>
        <v>1.312129671958675</v>
      </c>
      <c r="G538" s="24">
        <f>E538/$E$753</f>
        <v>0.36218260398505658</v>
      </c>
    </row>
    <row r="539" spans="1:7" hidden="1" x14ac:dyDescent="0.2">
      <c r="A539" s="5">
        <v>38231</v>
      </c>
      <c r="B539" s="26">
        <f>INPC!B307</f>
        <v>0.17</v>
      </c>
      <c r="C539" s="17">
        <f>C538*(1+B539/100)</f>
        <v>165548817431135.97</v>
      </c>
      <c r="D539" s="17">
        <f>IF(A539&lt;$D$1,C539,C539*1.2225)</f>
        <v>202383429309563.72</v>
      </c>
      <c r="E539" s="17">
        <f>SQRT(D539*D538)</f>
        <v>202211622417431.78</v>
      </c>
      <c r="F539" s="24">
        <f>E539/$E$507</f>
        <v>1.3165235261855965</v>
      </c>
      <c r="G539" s="24">
        <f>E539/$E$753</f>
        <v>0.36339542433311078</v>
      </c>
    </row>
    <row r="540" spans="1:7" hidden="1" x14ac:dyDescent="0.2">
      <c r="A540" s="5">
        <v>38261</v>
      </c>
      <c r="B540" s="26">
        <f>INPC!B308</f>
        <v>0.17</v>
      </c>
      <c r="C540" s="17">
        <f>C539*(1+B540/100)</f>
        <v>165830250420768.91</v>
      </c>
      <c r="D540" s="17">
        <f>IF(A540&lt;$D$1,C540,C540*1.2225)</f>
        <v>202727481139389.97</v>
      </c>
      <c r="E540" s="17">
        <f>SQRT(D540*D539)</f>
        <v>202555382175541.44</v>
      </c>
      <c r="F540" s="24">
        <f>E540/$E$507</f>
        <v>1.3187616161801121</v>
      </c>
      <c r="G540" s="24">
        <f>E540/$E$753</f>
        <v>0.36401319655447711</v>
      </c>
    </row>
    <row r="541" spans="1:7" hidden="1" x14ac:dyDescent="0.2">
      <c r="A541" s="4">
        <v>38292</v>
      </c>
      <c r="B541" s="26">
        <f>INPC!B309</f>
        <v>0.44</v>
      </c>
      <c r="C541" s="17">
        <f>C540*(1+B541/100)</f>
        <v>166559903522620.28</v>
      </c>
      <c r="D541" s="17">
        <f>IF(A541&lt;$D$1,C541,C541*1.2225)</f>
        <v>203619482056403.28</v>
      </c>
      <c r="E541" s="17">
        <f>SQRT(D541*D540)</f>
        <v>203172992073754.34</v>
      </c>
      <c r="F541" s="24">
        <f>E541/$E$507</f>
        <v>1.3227826410415016</v>
      </c>
      <c r="G541" s="24">
        <f>E541/$E$753</f>
        <v>0.36512310610542315</v>
      </c>
    </row>
    <row r="542" spans="1:7" hidden="1" x14ac:dyDescent="0.2">
      <c r="A542" s="5">
        <v>38322</v>
      </c>
      <c r="B542" s="26">
        <f>INPC!B310</f>
        <v>0.86</v>
      </c>
      <c r="C542" s="17">
        <f>C541*(1+B542/100)</f>
        <v>167992318692914.81</v>
      </c>
      <c r="D542" s="17">
        <f>IF(A542&lt;$D$1,C542,C542*1.2225)</f>
        <v>205370609602088.34</v>
      </c>
      <c r="E542" s="17">
        <f>SQRT(D542*D541)</f>
        <v>204493171418473.12</v>
      </c>
      <c r="F542" s="24">
        <f>E542/$E$507</f>
        <v>1.33137783030574</v>
      </c>
      <c r="G542" s="24">
        <f>E542/$E$753</f>
        <v>0.3674956063971202</v>
      </c>
    </row>
    <row r="543" spans="1:7" hidden="1" x14ac:dyDescent="0.2">
      <c r="A543" s="5">
        <v>38353</v>
      </c>
      <c r="B543" s="26">
        <f>INPC!B311</f>
        <v>0.56999999999999995</v>
      </c>
      <c r="C543" s="17">
        <f>C542*(1+B543/100)</f>
        <v>168949874909464.44</v>
      </c>
      <c r="D543" s="17">
        <f>IF(A543&lt;$D$1,C543,C543*1.2225)</f>
        <v>206541222076820.25</v>
      </c>
      <c r="E543" s="17">
        <f>SQRT(D543*D542)</f>
        <v>205955084146706.31</v>
      </c>
      <c r="F543" s="24">
        <f>E543/$E$507</f>
        <v>1.3408957921169364</v>
      </c>
      <c r="G543" s="24">
        <f>E543/$E$753</f>
        <v>0.37012281639555245</v>
      </c>
    </row>
    <row r="544" spans="1:7" hidden="1" x14ac:dyDescent="0.2">
      <c r="A544" s="4">
        <v>38384</v>
      </c>
      <c r="B544" s="26">
        <f>INPC!B312</f>
        <v>0.44</v>
      </c>
      <c r="C544" s="17">
        <f>C543*(1+B544/100)</f>
        <v>169693254359066.06</v>
      </c>
      <c r="D544" s="17">
        <f>IF(A544&lt;$D$1,C544,C544*1.2225)</f>
        <v>207450003453958.25</v>
      </c>
      <c r="E544" s="17">
        <f>SQRT(D544*D543)</f>
        <v>206995114032242.59</v>
      </c>
      <c r="F544" s="24">
        <f>E544/$E$507</f>
        <v>1.3476670340261581</v>
      </c>
      <c r="G544" s="24">
        <f>E544/$E$753</f>
        <v>0.37199185882276453</v>
      </c>
    </row>
    <row r="545" spans="1:7" hidden="1" x14ac:dyDescent="0.2">
      <c r="A545" s="5">
        <v>38412</v>
      </c>
      <c r="B545" s="26">
        <f>INPC!B313</f>
        <v>0.73</v>
      </c>
      <c r="C545" s="17">
        <f>C544*(1+B545/100)</f>
        <v>170932015115887.25</v>
      </c>
      <c r="D545" s="17">
        <f>IF(A545&lt;$D$1,C545,C545*1.2225)</f>
        <v>208964388479172.16</v>
      </c>
      <c r="E545" s="17">
        <f>SQRT(D545*D544)</f>
        <v>208205819111182.72</v>
      </c>
      <c r="F545" s="24">
        <f>E545/$E$507</f>
        <v>1.3555494776792072</v>
      </c>
      <c r="G545" s="24">
        <f>E545/$E$753</f>
        <v>0.37416762241460921</v>
      </c>
    </row>
    <row r="546" spans="1:7" hidden="1" x14ac:dyDescent="0.2">
      <c r="A546" s="5">
        <v>38443</v>
      </c>
      <c r="B546" s="26">
        <f>INPC!B314</f>
        <v>0.91</v>
      </c>
      <c r="C546" s="17">
        <f>C545*(1+B546/100)</f>
        <v>172487496453441.84</v>
      </c>
      <c r="D546" s="17">
        <f>IF(A546&lt;$D$1,C546,C546*1.2225)</f>
        <v>210865964414332.62</v>
      </c>
      <c r="E546" s="17">
        <f>SQRT(D546*D545)</f>
        <v>209913023190348.75</v>
      </c>
      <c r="F546" s="24">
        <f>E546/$E$507</f>
        <v>1.3666644388636953</v>
      </c>
      <c r="G546" s="24">
        <f>E546/$E$753</f>
        <v>0.37723564661299613</v>
      </c>
    </row>
    <row r="547" spans="1:7" hidden="1" x14ac:dyDescent="0.2">
      <c r="A547" s="5">
        <v>38473</v>
      </c>
      <c r="B547" s="26">
        <f>INPC!B315</f>
        <v>0.7</v>
      </c>
      <c r="C547" s="17">
        <f>C546*(1+B547/100)</f>
        <v>173694908928615.91</v>
      </c>
      <c r="D547" s="17">
        <f>IF(A547&lt;$D$1,C547,C547*1.2225)</f>
        <v>212342026165232.94</v>
      </c>
      <c r="E547" s="17">
        <f>SQRT(D547*D546)</f>
        <v>211602708236509.31</v>
      </c>
      <c r="F547" s="24">
        <f>E547/$E$507</f>
        <v>1.3776653402388015</v>
      </c>
      <c r="G547" s="24">
        <f>E547/$E$753</f>
        <v>0.38027218727766321</v>
      </c>
    </row>
    <row r="548" spans="1:7" hidden="1" x14ac:dyDescent="0.2">
      <c r="A548" s="4">
        <v>38504</v>
      </c>
      <c r="B548" s="26">
        <f>INPC!B316</f>
        <v>-0.11</v>
      </c>
      <c r="C548" s="17">
        <f>C547*(1+B548/100)</f>
        <v>173503844528794.44</v>
      </c>
      <c r="D548" s="17">
        <f>IF(A548&lt;$D$1,C548,C548*1.2225)</f>
        <v>212108449936451.19</v>
      </c>
      <c r="E548" s="17">
        <f>SQRT(D548*D547)</f>
        <v>212225205916434.25</v>
      </c>
      <c r="F548" s="24">
        <f>E548/$E$507</f>
        <v>1.3817181876014784</v>
      </c>
      <c r="G548" s="24">
        <f>E548/$E$753</f>
        <v>0.3813908806833059</v>
      </c>
    </row>
    <row r="549" spans="1:7" hidden="1" x14ac:dyDescent="0.2">
      <c r="A549" s="5">
        <v>38534</v>
      </c>
      <c r="B549" s="26">
        <f>INPC!B317</f>
        <v>0.03</v>
      </c>
      <c r="C549" s="17">
        <f>C548*(1+B549/100)</f>
        <v>173555895682153.06</v>
      </c>
      <c r="D549" s="17">
        <f>IF(A549&lt;$D$1,C549,C549*1.2225)</f>
        <v>212172082471432.09</v>
      </c>
      <c r="E549" s="17">
        <f>SQRT(D549*D548)</f>
        <v>212140263818079.44</v>
      </c>
      <c r="F549" s="24">
        <f>E549/$E$507</f>
        <v>1.3811651616699776</v>
      </c>
      <c r="G549" s="24">
        <f>E549/$E$753</f>
        <v>0.38123823085286407</v>
      </c>
    </row>
    <row r="550" spans="1:7" hidden="1" x14ac:dyDescent="0.2">
      <c r="A550" s="5">
        <v>38565</v>
      </c>
      <c r="B550" s="26">
        <f>INPC!B318</f>
        <v>0</v>
      </c>
      <c r="C550" s="17">
        <f>C549*(1+B550/100)</f>
        <v>173555895682153.06</v>
      </c>
      <c r="D550" s="17">
        <f>IF(A550&lt;$D$1,C550,C550*1.2225)</f>
        <v>212172082471432.09</v>
      </c>
      <c r="E550" s="17">
        <f>SQRT(D550*D549)</f>
        <v>212172082471432.09</v>
      </c>
      <c r="F550" s="24">
        <f>E550/$E$507</f>
        <v>1.3813723209084503</v>
      </c>
      <c r="G550" s="24">
        <f>E550/$E$753</f>
        <v>0.38129541229920511</v>
      </c>
    </row>
    <row r="551" spans="1:7" hidden="1" x14ac:dyDescent="0.2">
      <c r="A551" s="5">
        <v>38596</v>
      </c>
      <c r="B551" s="26">
        <f>INPC!B319</f>
        <v>0.15</v>
      </c>
      <c r="C551" s="17">
        <f>C550*(1+B551/100)</f>
        <v>173816229525676.31</v>
      </c>
      <c r="D551" s="17">
        <f>IF(A551&lt;$D$1,C551,C551*1.2225)</f>
        <v>212490340595139.28</v>
      </c>
      <c r="E551" s="17">
        <f>SQRT(D551*D550)</f>
        <v>212331151904600.62</v>
      </c>
      <c r="F551" s="24">
        <f>E551/$E$507</f>
        <v>1.3824079619292768</v>
      </c>
      <c r="G551" s="24">
        <f>E551/$E$753</f>
        <v>0.38158127669944902</v>
      </c>
    </row>
    <row r="552" spans="1:7" hidden="1" x14ac:dyDescent="0.2">
      <c r="A552" s="4">
        <v>38626</v>
      </c>
      <c r="B552" s="26">
        <f>INPC!B320</f>
        <v>0.57999999999999996</v>
      </c>
      <c r="C552" s="17">
        <f>C551*(1+B552/100)</f>
        <v>174824363656925.25</v>
      </c>
      <c r="D552" s="17">
        <f>IF(A552&lt;$D$1,C552,C552*1.2225)</f>
        <v>213722784570591.09</v>
      </c>
      <c r="E552" s="17">
        <f>SQRT(D552*D551)</f>
        <v>213105671642841.28</v>
      </c>
      <c r="F552" s="24">
        <f>E552/$E$507</f>
        <v>1.387450567515933</v>
      </c>
      <c r="G552" s="24">
        <f>E552/$E$753</f>
        <v>0.38297316963600492</v>
      </c>
    </row>
    <row r="553" spans="1:7" hidden="1" x14ac:dyDescent="0.2">
      <c r="A553" s="5">
        <v>38657</v>
      </c>
      <c r="B553" s="26">
        <f>INPC!B321</f>
        <v>0.54</v>
      </c>
      <c r="C553" s="17">
        <f>C552*(1+B553/100)</f>
        <v>175768415220672.66</v>
      </c>
      <c r="D553" s="17">
        <f>IF(A553&lt;$D$1,C553,C553*1.2225)</f>
        <v>214876887607272.31</v>
      </c>
      <c r="E553" s="17">
        <f>SQRT(D553*D552)</f>
        <v>214299059165662.62</v>
      </c>
      <c r="F553" s="24">
        <f>E553/$E$507</f>
        <v>1.3952202630995396</v>
      </c>
      <c r="G553" s="24">
        <f>E553/$E$753</f>
        <v>0.38511781176915721</v>
      </c>
    </row>
    <row r="554" spans="1:7" hidden="1" x14ac:dyDescent="0.2">
      <c r="A554" s="5">
        <v>38687</v>
      </c>
      <c r="B554" s="26">
        <f>INPC!B322</f>
        <v>0.4</v>
      </c>
      <c r="C554" s="17">
        <f>C553*(1+B554/100)</f>
        <v>176471488881555.34</v>
      </c>
      <c r="D554" s="17">
        <f>IF(A554&lt;$D$1,C554,C554*1.2225)</f>
        <v>215736395157701.41</v>
      </c>
      <c r="E554" s="17">
        <f>SQRT(D554*D553)</f>
        <v>215306212486076.44</v>
      </c>
      <c r="F554" s="24">
        <f>E554/$E$507</f>
        <v>1.4017774581061824</v>
      </c>
      <c r="G554" s="24">
        <f>E554/$E$753</f>
        <v>0.38692777157198566</v>
      </c>
    </row>
    <row r="555" spans="1:7" hidden="1" x14ac:dyDescent="0.2">
      <c r="A555" s="5">
        <v>38718</v>
      </c>
      <c r="B555" s="26">
        <f>INPC!B323</f>
        <v>0.38</v>
      </c>
      <c r="C555" s="17">
        <f>C554*(1+B555/100)</f>
        <v>177142080539305.25</v>
      </c>
      <c r="D555" s="17">
        <f>IF(A555&lt;$D$1,C555,C555*1.2225)</f>
        <v>216556193459300.66</v>
      </c>
      <c r="E555" s="17">
        <f>SQRT(D555*D554)</f>
        <v>216145905642423.22</v>
      </c>
      <c r="F555" s="24">
        <f>E555/$E$507</f>
        <v>1.4072443832111377</v>
      </c>
      <c r="G555" s="24">
        <f>E555/$E$753</f>
        <v>0.38843678795399328</v>
      </c>
    </row>
    <row r="556" spans="1:7" hidden="1" x14ac:dyDescent="0.2">
      <c r="A556" s="4">
        <v>38749</v>
      </c>
      <c r="B556" s="26">
        <f>INPC!B324</f>
        <v>0.23</v>
      </c>
      <c r="C556" s="17">
        <f>C555*(1+B556/100)</f>
        <v>177549507324545.66</v>
      </c>
      <c r="D556" s="17">
        <f>IF(A556&lt;$D$1,C556,C556*1.2225)</f>
        <v>217054272704257.06</v>
      </c>
      <c r="E556" s="17">
        <f>SQRT(D556*D555)</f>
        <v>216805090048437.03</v>
      </c>
      <c r="F556" s="24">
        <f>E556/$E$507</f>
        <v>1.4115360839958746</v>
      </c>
      <c r="G556" s="24">
        <f>E556/$E$753</f>
        <v>0.38962141124158384</v>
      </c>
    </row>
    <row r="557" spans="1:7" hidden="1" x14ac:dyDescent="0.2">
      <c r="A557" s="5">
        <v>38777</v>
      </c>
      <c r="B557" s="26">
        <f>INPC!B325</f>
        <v>0.27</v>
      </c>
      <c r="C557" s="17">
        <f>C556*(1+B557/100)</f>
        <v>178028890994321.91</v>
      </c>
      <c r="D557" s="17">
        <f>IF(A557&lt;$D$1,C557,C557*1.2225)</f>
        <v>217640319240558.53</v>
      </c>
      <c r="E557" s="17">
        <f>SQRT(D557*D556)</f>
        <v>217347098448269.5</v>
      </c>
      <c r="F557" s="24">
        <f>E557/$E$507</f>
        <v>1.4150648960455432</v>
      </c>
      <c r="G557" s="24">
        <f>E557/$E$753</f>
        <v>0.39059545699669201</v>
      </c>
    </row>
    <row r="558" spans="1:7" hidden="1" x14ac:dyDescent="0.2">
      <c r="A558" s="5">
        <v>38808</v>
      </c>
      <c r="B558" s="26">
        <f>INPC!B326</f>
        <v>0.12</v>
      </c>
      <c r="C558" s="17">
        <f>C557*(1+B558/100)</f>
        <v>178242525663515.09</v>
      </c>
      <c r="D558" s="17">
        <f>IF(A558&lt;$D$1,C558,C558*1.2225)</f>
        <v>217901487623647.19</v>
      </c>
      <c r="E558" s="17">
        <f>SQRT(D558*D557)</f>
        <v>217770864280332.94</v>
      </c>
      <c r="F558" s="24">
        <f>E558/$E$507</f>
        <v>1.4178238753803385</v>
      </c>
      <c r="G558" s="24">
        <f>E558/$E$753</f>
        <v>0.39135700849664817</v>
      </c>
    </row>
    <row r="559" spans="1:7" hidden="1" x14ac:dyDescent="0.2">
      <c r="A559" s="4">
        <v>38838</v>
      </c>
      <c r="B559" s="26">
        <f>INPC!B327</f>
        <v>0.13</v>
      </c>
      <c r="C559" s="17">
        <f>C558*(1+B559/100)</f>
        <v>178474240946877.69</v>
      </c>
      <c r="D559" s="17">
        <f>IF(A559&lt;$D$1,C559,C559*1.2225)</f>
        <v>218184759557557.97</v>
      </c>
      <c r="E559" s="17">
        <f>SQRT(D559*D558)</f>
        <v>218043077588809.62</v>
      </c>
      <c r="F559" s="24">
        <f>E559/$E$507</f>
        <v>1.4195961534544967</v>
      </c>
      <c r="G559" s="24">
        <f>E559/$E$753</f>
        <v>0.3918462042686835</v>
      </c>
    </row>
    <row r="560" spans="1:7" hidden="1" x14ac:dyDescent="0.2">
      <c r="A560" s="5">
        <v>38869</v>
      </c>
      <c r="B560" s="26">
        <f>INPC!B328</f>
        <v>-7.0000000000000007E-2</v>
      </c>
      <c r="C560" s="17">
        <f>C559*(1+B560/100)</f>
        <v>178349308978214.88</v>
      </c>
      <c r="D560" s="17">
        <f>IF(A560&lt;$D$1,C560,C560*1.2225)</f>
        <v>218032030225867.66</v>
      </c>
      <c r="E560" s="17">
        <f>SQRT(D560*D559)</f>
        <v>218108381523216.91</v>
      </c>
      <c r="F560" s="24">
        <f>E560/$E$507</f>
        <v>1.4200213227151548</v>
      </c>
      <c r="G560" s="24">
        <f>E560/$E$753</f>
        <v>0.39196356226557233</v>
      </c>
    </row>
    <row r="561" spans="1:7" hidden="1" x14ac:dyDescent="0.2">
      <c r="A561" s="5">
        <v>38899</v>
      </c>
      <c r="B561" s="26">
        <f>INPC!B329</f>
        <v>0.11</v>
      </c>
      <c r="C561" s="17">
        <f>C560*(1+B561/100)</f>
        <v>178545493218090.94</v>
      </c>
      <c r="D561" s="17">
        <f>IF(A561&lt;$D$1,C561,C561*1.2225)</f>
        <v>218271865459116.16</v>
      </c>
      <c r="E561" s="17">
        <f>SQRT(D561*D560)</f>
        <v>218151914883272.41</v>
      </c>
      <c r="F561" s="24">
        <f>E561/$E$507</f>
        <v>1.4203047519859444</v>
      </c>
      <c r="G561" s="24">
        <f>E561/$E$753</f>
        <v>0.39204179626449331</v>
      </c>
    </row>
    <row r="562" spans="1:7" hidden="1" x14ac:dyDescent="0.2">
      <c r="A562" s="5">
        <v>38930</v>
      </c>
      <c r="B562" s="26">
        <f>INPC!B330</f>
        <v>-0.02</v>
      </c>
      <c r="C562" s="17">
        <f>C561*(1+B562/100)</f>
        <v>178509784119447.31</v>
      </c>
      <c r="D562" s="17">
        <f>IF(A562&lt;$D$1,C562,C562*1.2225)</f>
        <v>218228211086024.31</v>
      </c>
      <c r="E562" s="17">
        <f>SQRT(D562*D561)</f>
        <v>218250037181101.78</v>
      </c>
      <c r="F562" s="24">
        <f>E562/$E$507</f>
        <v>1.420943589219885</v>
      </c>
      <c r="G562" s="24">
        <f>E562/$E$753</f>
        <v>0.39221813229122593</v>
      </c>
    </row>
    <row r="563" spans="1:7" hidden="1" x14ac:dyDescent="0.2">
      <c r="A563" s="4">
        <v>38961</v>
      </c>
      <c r="B563" s="26">
        <f>INPC!B331</f>
        <v>0.16</v>
      </c>
      <c r="C563" s="17">
        <f>C562*(1+B563/100)</f>
        <v>178795399774038.44</v>
      </c>
      <c r="D563" s="17">
        <f>IF(A563&lt;$D$1,C563,C563*1.2225)</f>
        <v>218577376223761.97</v>
      </c>
      <c r="E563" s="17">
        <f>SQRT(D563*D562)</f>
        <v>218402723877676.22</v>
      </c>
      <c r="F563" s="24">
        <f>E563/$E$507</f>
        <v>1.4219376746526244</v>
      </c>
      <c r="G563" s="24">
        <f>E563/$E$753</f>
        <v>0.39249252624657011</v>
      </c>
    </row>
    <row r="564" spans="1:7" hidden="1" x14ac:dyDescent="0.2">
      <c r="A564" s="5">
        <v>38991</v>
      </c>
      <c r="B564" s="26">
        <f>INPC!B332</f>
        <v>0.43</v>
      </c>
      <c r="C564" s="17">
        <f>C563*(1+B564/100)</f>
        <v>179564219993066.81</v>
      </c>
      <c r="D564" s="17">
        <f>IF(A564&lt;$D$1,C564,C564*1.2225)</f>
        <v>219517258941524.16</v>
      </c>
      <c r="E564" s="17">
        <f>SQRT(D564*D563)</f>
        <v>219046813478923.97</v>
      </c>
      <c r="F564" s="24">
        <f>E564/$E$507</f>
        <v>1.4261310988627507</v>
      </c>
      <c r="G564" s="24">
        <f>E564/$E$753</f>
        <v>0.39365002259201159</v>
      </c>
    </row>
    <row r="565" spans="1:7" hidden="1" x14ac:dyDescent="0.2">
      <c r="A565" s="5">
        <v>39022</v>
      </c>
      <c r="B565" s="26">
        <f>INPC!B333</f>
        <v>0.42</v>
      </c>
      <c r="C565" s="17">
        <f>C564*(1+B565/100)</f>
        <v>180318389717037.69</v>
      </c>
      <c r="D565" s="17">
        <f>IF(A565&lt;$D$1,C565,C565*1.2225)</f>
        <v>220439231429078.56</v>
      </c>
      <c r="E565" s="17">
        <f>SQRT(D565*D564)</f>
        <v>219977762163559.62</v>
      </c>
      <c r="F565" s="24">
        <f>E565/$E$507</f>
        <v>1.4321921542577978</v>
      </c>
      <c r="G565" s="24">
        <f>E565/$E$753</f>
        <v>0.39532303469804753</v>
      </c>
    </row>
    <row r="566" spans="1:7" hidden="1" x14ac:dyDescent="0.2">
      <c r="A566" s="5">
        <v>39052</v>
      </c>
      <c r="B566" s="26">
        <f>INPC!B334</f>
        <v>0.62</v>
      </c>
      <c r="C566" s="17">
        <f>C565*(1+B566/100)</f>
        <v>181436363733283.31</v>
      </c>
      <c r="D566" s="17">
        <f>IF(A566&lt;$D$1,C566,C566*1.2225)</f>
        <v>221805954663938.84</v>
      </c>
      <c r="E566" s="17">
        <f>SQRT(D566*D565)</f>
        <v>221121537106885.47</v>
      </c>
      <c r="F566" s="24">
        <f>E566/$E$507</f>
        <v>1.4396388410681216</v>
      </c>
      <c r="G566" s="24">
        <f>E566/$E$753</f>
        <v>0.39737851783943418</v>
      </c>
    </row>
    <row r="567" spans="1:7" hidden="1" x14ac:dyDescent="0.2">
      <c r="A567" s="4">
        <v>39083</v>
      </c>
      <c r="B567" s="26">
        <f>INPC!B335</f>
        <v>0.49</v>
      </c>
      <c r="C567" s="17">
        <f>C566*(1+B567/100)</f>
        <v>182325401915576.38</v>
      </c>
      <c r="D567" s="17">
        <f>IF(A567&lt;$D$1,C567,C567*1.2225)</f>
        <v>222892803841792.09</v>
      </c>
      <c r="E567" s="17">
        <f>SQRT(D567*D566)</f>
        <v>222348715183719.38</v>
      </c>
      <c r="F567" s="24">
        <f>E567/$E$507</f>
        <v>1.4476285341908832</v>
      </c>
      <c r="G567" s="24">
        <f>E567/$E$753</f>
        <v>0.39958388513055237</v>
      </c>
    </row>
    <row r="568" spans="1:7" hidden="1" x14ac:dyDescent="0.2">
      <c r="A568" s="5">
        <v>39114</v>
      </c>
      <c r="B568" s="26">
        <f>INPC!B336</f>
        <v>0.42</v>
      </c>
      <c r="C568" s="17">
        <f>C567*(1+B568/100)</f>
        <v>183091168603621.78</v>
      </c>
      <c r="D568" s="17">
        <f>IF(A568&lt;$D$1,C568,C568*1.2225)</f>
        <v>223828953617927.62</v>
      </c>
      <c r="E568" s="17">
        <f>SQRT(D568*D567)</f>
        <v>223360388280631.19</v>
      </c>
      <c r="F568" s="24">
        <f>E568/$E$507</f>
        <v>1.4542151557558096</v>
      </c>
      <c r="G568" s="24">
        <f>E568/$E$753</f>
        <v>0.40140196744423728</v>
      </c>
    </row>
    <row r="569" spans="1:7" hidden="1" x14ac:dyDescent="0.2">
      <c r="A569" s="5">
        <v>39142</v>
      </c>
      <c r="B569" s="26">
        <f>INPC!B337</f>
        <v>0.44</v>
      </c>
      <c r="C569" s="17">
        <f>C568*(1+B569/100)</f>
        <v>183896769745477.72</v>
      </c>
      <c r="D569" s="17">
        <f>IF(A569&lt;$D$1,C569,C569*1.2225)</f>
        <v>224813801013846.5</v>
      </c>
      <c r="E569" s="17">
        <f>SQRT(D569*D568)</f>
        <v>224320836838217.62</v>
      </c>
      <c r="F569" s="24">
        <f>E569/$E$507</f>
        <v>1.4604682736856156</v>
      </c>
      <c r="G569" s="24">
        <f>E569/$E$753</f>
        <v>0.40312799390583082</v>
      </c>
    </row>
    <row r="570" spans="1:7" hidden="1" x14ac:dyDescent="0.2">
      <c r="A570" s="5">
        <v>39173</v>
      </c>
      <c r="B570" s="26">
        <f>INPC!B338</f>
        <v>0.26</v>
      </c>
      <c r="C570" s="17">
        <f>C569*(1+B570/100)</f>
        <v>184374901346815.94</v>
      </c>
      <c r="D570" s="17">
        <f>IF(A570&lt;$D$1,C570,C570*1.2225)</f>
        <v>225398316896482.47</v>
      </c>
      <c r="E570" s="17">
        <f>SQRT(D570*D569)</f>
        <v>225105869234060</v>
      </c>
      <c r="F570" s="24">
        <f>E570/$E$507</f>
        <v>1.4655793232167391</v>
      </c>
      <c r="G570" s="24">
        <f>E570/$E$753</f>
        <v>0.40453877918707182</v>
      </c>
    </row>
    <row r="571" spans="1:7" hidden="1" x14ac:dyDescent="0.2">
      <c r="A571" s="4">
        <v>39203</v>
      </c>
      <c r="B571" s="26">
        <f>INPC!B339</f>
        <v>0.26</v>
      </c>
      <c r="C571" s="17">
        <f>C570*(1+B571/100)</f>
        <v>184854276090317.66</v>
      </c>
      <c r="D571" s="17">
        <f>IF(A571&lt;$D$1,C571,C571*1.2225)</f>
        <v>225984352520413.31</v>
      </c>
      <c r="E571" s="17">
        <f>SQRT(D571*D570)</f>
        <v>225691144494068.56</v>
      </c>
      <c r="F571" s="24">
        <f>E571/$E$507</f>
        <v>1.4693898294571026</v>
      </c>
      <c r="G571" s="24">
        <f>E571/$E$753</f>
        <v>0.40559058001295822</v>
      </c>
    </row>
    <row r="572" spans="1:7" hidden="1" x14ac:dyDescent="0.2">
      <c r="A572" s="5">
        <v>39234</v>
      </c>
      <c r="B572" s="26">
        <f>INPC!B340</f>
        <v>0.31</v>
      </c>
      <c r="C572" s="17">
        <f>C571*(1+B572/100)</f>
        <v>185427324346197.66</v>
      </c>
      <c r="D572" s="17">
        <f>IF(A572&lt;$D$1,C572,C572*1.2225)</f>
        <v>226684904013226.62</v>
      </c>
      <c r="E572" s="17">
        <f>SQRT(D572*D571)</f>
        <v>226334357223071.78</v>
      </c>
      <c r="F572" s="24">
        <f>E572/$E$507</f>
        <v>1.4735775446831181</v>
      </c>
      <c r="G572" s="24">
        <f>E572/$E$753</f>
        <v>0.4067465005273096</v>
      </c>
    </row>
    <row r="573" spans="1:7" hidden="1" x14ac:dyDescent="0.2">
      <c r="A573" s="5">
        <v>39264</v>
      </c>
      <c r="B573" s="26">
        <f>INPC!B341</f>
        <v>0.32</v>
      </c>
      <c r="C573" s="17">
        <f>C572*(1+B573/100)</f>
        <v>186020691784105.5</v>
      </c>
      <c r="D573" s="17">
        <f>IF(A573&lt;$D$1,C573,C573*1.2225)</f>
        <v>227410295706068.97</v>
      </c>
      <c r="E573" s="17">
        <f>SQRT(D573*D572)</f>
        <v>227047310166294.91</v>
      </c>
      <c r="F573" s="24">
        <f>E573/$E$507</f>
        <v>1.4782193121126821</v>
      </c>
      <c r="G573" s="24">
        <f>E573/$E$753</f>
        <v>0.40802775149713405</v>
      </c>
    </row>
    <row r="574" spans="1:7" hidden="1" x14ac:dyDescent="0.2">
      <c r="A574" s="4">
        <v>39295</v>
      </c>
      <c r="B574" s="26">
        <f>INPC!B342</f>
        <v>0.59</v>
      </c>
      <c r="C574" s="17">
        <f>C573*(1+B574/100)</f>
        <v>187118213865631.72</v>
      </c>
      <c r="D574" s="17">
        <f>IF(A574&lt;$D$1,C574,C574*1.2225)</f>
        <v>228752016450734.75</v>
      </c>
      <c r="E574" s="17">
        <f>SQRT(D574*D573)</f>
        <v>228080169467714</v>
      </c>
      <c r="F574" s="24">
        <f>E574/$E$507</f>
        <v>1.484943869056055</v>
      </c>
      <c r="G574" s="24">
        <f>E574/$E$753</f>
        <v>0.40988390763508725</v>
      </c>
    </row>
    <row r="575" spans="1:7" hidden="1" x14ac:dyDescent="0.2">
      <c r="A575" s="5">
        <v>39326</v>
      </c>
      <c r="B575" s="26">
        <f>INPC!B343</f>
        <v>0.25</v>
      </c>
      <c r="C575" s="17">
        <f>C574*(1+B575/100)</f>
        <v>187586009400295.78</v>
      </c>
      <c r="D575" s="17">
        <f>IF(A575&lt;$D$1,C575,C575*1.2225)</f>
        <v>229323896491861.56</v>
      </c>
      <c r="E575" s="17">
        <f>SQRT(D575*D574)</f>
        <v>229037777981827.5</v>
      </c>
      <c r="F575" s="24">
        <f>E575/$E$507</f>
        <v>1.4911784965351003</v>
      </c>
      <c r="G575" s="24">
        <f>E575/$E$753</f>
        <v>0.41160483024166672</v>
      </c>
    </row>
    <row r="576" spans="1:7" hidden="1" x14ac:dyDescent="0.2">
      <c r="A576" s="5">
        <v>39356</v>
      </c>
      <c r="B576" s="26">
        <f>INPC!B344</f>
        <v>0.3</v>
      </c>
      <c r="C576" s="17">
        <f>C575*(1+B576/100)</f>
        <v>188148767428496.66</v>
      </c>
      <c r="D576" s="17">
        <f>IF(A576&lt;$D$1,C576,C576*1.2225)</f>
        <v>230011868181337.16</v>
      </c>
      <c r="E576" s="17">
        <f>SQRT(D576*D575)</f>
        <v>229667624733475.81</v>
      </c>
      <c r="F576" s="24">
        <f>E576/$E$507</f>
        <v>1.4952791909290397</v>
      </c>
      <c r="G576" s="24">
        <f>E576/$E$753</f>
        <v>0.41273673069745548</v>
      </c>
    </row>
    <row r="577" spans="1:7" hidden="1" x14ac:dyDescent="0.2">
      <c r="A577" s="5">
        <v>39387</v>
      </c>
      <c r="B577" s="26">
        <f>INPC!B345</f>
        <v>0.43</v>
      </c>
      <c r="C577" s="17">
        <f>C576*(1+B577/100)</f>
        <v>188957807128439.19</v>
      </c>
      <c r="D577" s="17">
        <f>IF(A577&lt;$D$1,C577,C577*1.2225)</f>
        <v>231000919214516.91</v>
      </c>
      <c r="E577" s="17">
        <f>SQRT(D577*D576)</f>
        <v>230505863222906.28</v>
      </c>
      <c r="F577" s="24">
        <f>E577/$E$507</f>
        <v>1.5007366452469295</v>
      </c>
      <c r="G577" s="24">
        <f>E577/$E$753</f>
        <v>0.41424313289094616</v>
      </c>
    </row>
    <row r="578" spans="1:7" hidden="1" x14ac:dyDescent="0.2">
      <c r="A578" s="4">
        <v>39417</v>
      </c>
      <c r="B578" s="26">
        <f>INPC!B346</f>
        <v>0.97</v>
      </c>
      <c r="C578" s="17">
        <f>C577*(1+B578/100)</f>
        <v>190790697857585.06</v>
      </c>
      <c r="D578" s="17">
        <f>IF(A578&lt;$D$1,C578,C578*1.2225)</f>
        <v>233241628130897.72</v>
      </c>
      <c r="E578" s="17">
        <f>SQRT(D578*D577)</f>
        <v>232118569910569.41</v>
      </c>
      <c r="F578" s="24">
        <f>E578/$E$507</f>
        <v>1.5112363695939426</v>
      </c>
      <c r="G578" s="24">
        <f>E578/$E$753</f>
        <v>0.41714133539821047</v>
      </c>
    </row>
    <row r="579" spans="1:7" hidden="1" x14ac:dyDescent="0.2">
      <c r="A579" s="5">
        <v>39448</v>
      </c>
      <c r="B579" s="26">
        <f>INPC!B347</f>
        <v>0.69</v>
      </c>
      <c r="C579" s="17">
        <f>C578*(1+B579/100)</f>
        <v>192107153672802.38</v>
      </c>
      <c r="D579" s="17">
        <f>IF(A579&lt;$D$1,C579,C579*1.2225)</f>
        <v>234850995365000.88</v>
      </c>
      <c r="E579" s="17">
        <f>SQRT(D579*D578)</f>
        <v>234044928437030.47</v>
      </c>
      <c r="F579" s="24">
        <f>E579/$E$507</f>
        <v>1.5237781626404316</v>
      </c>
      <c r="G579" s="24">
        <f>E579/$E$753</f>
        <v>0.42060320304840881</v>
      </c>
    </row>
    <row r="580" spans="1:7" hidden="1" x14ac:dyDescent="0.2">
      <c r="A580" s="5">
        <v>39479</v>
      </c>
      <c r="B580" s="26">
        <f>INPC!B348</f>
        <v>0.48</v>
      </c>
      <c r="C580" s="17">
        <f>C579*(1+B580/100)</f>
        <v>193029268010431.81</v>
      </c>
      <c r="D580" s="17">
        <f>IF(A580&lt;$D$1,C580,C580*1.2225)</f>
        <v>235978280142752.88</v>
      </c>
      <c r="E580" s="17">
        <f>SQRT(D580*D579)</f>
        <v>235413963001446.75</v>
      </c>
      <c r="F580" s="24">
        <f>E580/$E$507</f>
        <v>1.5326914297942582</v>
      </c>
      <c r="G580" s="24">
        <f>E580/$E$753</f>
        <v>0.42306350127714137</v>
      </c>
    </row>
    <row r="581" spans="1:7" hidden="1" x14ac:dyDescent="0.2">
      <c r="A581" s="5">
        <v>39508</v>
      </c>
      <c r="B581" s="26">
        <f>INPC!B349</f>
        <v>0.51</v>
      </c>
      <c r="C581" s="17">
        <f>C580*(1+B581/100)</f>
        <v>194013717277285.03</v>
      </c>
      <c r="D581" s="17">
        <f>IF(A581&lt;$D$1,C581,C581*1.2225)</f>
        <v>237181769371480.94</v>
      </c>
      <c r="E581" s="17">
        <f>SQRT(D581*D580)</f>
        <v>236579259482941.88</v>
      </c>
      <c r="F581" s="24">
        <f>E581/$E$507</f>
        <v>1.5402782352138926</v>
      </c>
      <c r="G581" s="24">
        <f>E581/$E$753</f>
        <v>0.42515766087244217</v>
      </c>
    </row>
    <row r="582" spans="1:7" hidden="1" x14ac:dyDescent="0.2">
      <c r="A582" s="4">
        <v>39539</v>
      </c>
      <c r="B582" s="26">
        <f>INPC!B350</f>
        <v>0.64</v>
      </c>
      <c r="C582" s="17">
        <f>C581*(1+B582/100)</f>
        <v>195255405067859.66</v>
      </c>
      <c r="D582" s="17">
        <f>IF(A582&lt;$D$1,C582,C582*1.2225)</f>
        <v>238699732695458.41</v>
      </c>
      <c r="E582" s="17">
        <f>SQRT(D582*D581)</f>
        <v>237939540533321.94</v>
      </c>
      <c r="F582" s="24">
        <f>E582/$E$507</f>
        <v>1.5491345115428217</v>
      </c>
      <c r="G582" s="24">
        <f>E582/$E$753</f>
        <v>0.42760222812137461</v>
      </c>
    </row>
    <row r="583" spans="1:7" hidden="1" x14ac:dyDescent="0.2">
      <c r="A583" s="5">
        <v>39569</v>
      </c>
      <c r="B583" s="26">
        <f>INPC!B351</f>
        <v>0.96</v>
      </c>
      <c r="C583" s="17">
        <f>C582*(1+B583/100)</f>
        <v>197129856956511.12</v>
      </c>
      <c r="D583" s="17">
        <f>IF(A583&lt;$D$1,C583,C583*1.2225)</f>
        <v>240991250129334.84</v>
      </c>
      <c r="E583" s="17">
        <f>SQRT(D583*D582)</f>
        <v>239842754711949.94</v>
      </c>
      <c r="F583" s="24">
        <f>E583/$E$507</f>
        <v>1.56152562047899</v>
      </c>
      <c r="G583" s="24">
        <f>E583/$E$753</f>
        <v>0.43102250295904732</v>
      </c>
    </row>
    <row r="584" spans="1:7" hidden="1" x14ac:dyDescent="0.2">
      <c r="A584" s="5">
        <v>39600</v>
      </c>
      <c r="B584" s="26">
        <f>INPC!B352</f>
        <v>0.91</v>
      </c>
      <c r="C584" s="17">
        <f>C583*(1+B584/100)</f>
        <v>198923738654815.41</v>
      </c>
      <c r="D584" s="17">
        <f>IF(A584&lt;$D$1,C584,C584*1.2225)</f>
        <v>243184270505511.81</v>
      </c>
      <c r="E584" s="17">
        <f>SQRT(D584*D583)</f>
        <v>242085277042850.38</v>
      </c>
      <c r="F584" s="24">
        <f>E584/$E$507</f>
        <v>1.5761258366848241</v>
      </c>
      <c r="G584" s="24">
        <f>E584/$E$753</f>
        <v>0.4350525500170338</v>
      </c>
    </row>
    <row r="585" spans="1:7" hidden="1" x14ac:dyDescent="0.2">
      <c r="A585" s="5">
        <v>39630</v>
      </c>
      <c r="B585" s="26">
        <f>INPC!B353</f>
        <v>0.57999999999999996</v>
      </c>
      <c r="C585" s="17">
        <f>C584*(1+B585/100)</f>
        <v>200077496339013.34</v>
      </c>
      <c r="D585" s="17">
        <f>IF(A585&lt;$D$1,C585,C585*1.2225)</f>
        <v>244594739274443.78</v>
      </c>
      <c r="E585" s="17">
        <f>SQRT(D585*D584)</f>
        <v>243888485254924.38</v>
      </c>
      <c r="F585" s="24">
        <f>E585/$E$507</f>
        <v>1.5878658445311873</v>
      </c>
      <c r="G585" s="24">
        <f>E585/$E$753</f>
        <v>0.43829310367836027</v>
      </c>
    </row>
    <row r="586" spans="1:7" hidden="1" x14ac:dyDescent="0.2">
      <c r="A586" s="4">
        <v>39661</v>
      </c>
      <c r="B586" s="26">
        <f>INPC!B354</f>
        <v>0.21</v>
      </c>
      <c r="C586" s="17">
        <f>C585*(1+B586/100)</f>
        <v>200497659081325.28</v>
      </c>
      <c r="D586" s="17">
        <f>IF(A586&lt;$D$1,C586,C586*1.2225)</f>
        <v>245108388226920.12</v>
      </c>
      <c r="E586" s="17">
        <f>SQRT(D586*D585)</f>
        <v>244851429059220.88</v>
      </c>
      <c r="F586" s="24">
        <f>E586/$E$507</f>
        <v>1.5941352080702127</v>
      </c>
      <c r="G586" s="24">
        <f>E586/$E$753</f>
        <v>0.44002361435914056</v>
      </c>
    </row>
    <row r="587" spans="1:7" hidden="1" x14ac:dyDescent="0.2">
      <c r="A587" s="5">
        <v>39692</v>
      </c>
      <c r="B587" s="26">
        <f>INPC!B355</f>
        <v>0.15</v>
      </c>
      <c r="C587" s="17">
        <f>C586*(1+B587/100)</f>
        <v>200798405569947.28</v>
      </c>
      <c r="D587" s="17">
        <f>IF(A587&lt;$D$1,C587,C587*1.2225)</f>
        <v>245476050809260.53</v>
      </c>
      <c r="E587" s="17">
        <f>SQRT(D587*D586)</f>
        <v>245292150633010.28</v>
      </c>
      <c r="F587" s="24">
        <f>E587/$E$507</f>
        <v>1.5970045798375463</v>
      </c>
      <c r="G587" s="24">
        <f>E587/$E$753</f>
        <v>0.44081563709950183</v>
      </c>
    </row>
    <row r="588" spans="1:7" hidden="1" x14ac:dyDescent="0.2">
      <c r="A588" s="5">
        <v>39722</v>
      </c>
      <c r="B588" s="26">
        <f>INPC!B356</f>
        <v>0.5</v>
      </c>
      <c r="C588" s="17">
        <f>C587*(1+B588/100)</f>
        <v>201802397597797</v>
      </c>
      <c r="D588" s="17">
        <f>IF(A588&lt;$D$1,C588,C588*1.2225)</f>
        <v>246703431063306.81</v>
      </c>
      <c r="E588" s="17">
        <f>SQRT(D588*D587)</f>
        <v>246088975735434.38</v>
      </c>
      <c r="F588" s="24">
        <f>E588/$E$507</f>
        <v>1.6021924072287483</v>
      </c>
      <c r="G588" s="24">
        <f>E588/$E$753</f>
        <v>0.44224761510725907</v>
      </c>
    </row>
    <row r="589" spans="1:7" hidden="1" x14ac:dyDescent="0.2">
      <c r="A589" s="4">
        <v>39753</v>
      </c>
      <c r="B589" s="26">
        <f>INPC!B357</f>
        <v>0.38</v>
      </c>
      <c r="C589" s="17">
        <f>C588*(1+B589/100)</f>
        <v>202569246708668.62</v>
      </c>
      <c r="D589" s="17">
        <f>IF(A589&lt;$D$1,C589,C589*1.2225)</f>
        <v>247640904101347.38</v>
      </c>
      <c r="E589" s="17">
        <f>SQRT(D589*D588)</f>
        <v>247171723126699.38</v>
      </c>
      <c r="F589" s="24">
        <f>E589/$E$507</f>
        <v>1.6092417666892733</v>
      </c>
      <c r="G589" s="24">
        <f>E589/$E$753</f>
        <v>0.44419342535787898</v>
      </c>
    </row>
    <row r="590" spans="1:7" hidden="1" x14ac:dyDescent="0.2">
      <c r="A590" s="5">
        <v>39783</v>
      </c>
      <c r="B590" s="26">
        <f>INPC!B358</f>
        <v>0.28999999999999998</v>
      </c>
      <c r="C590" s="17">
        <f>C589*(1+B590/100)</f>
        <v>203156697524123.75</v>
      </c>
      <c r="D590" s="17">
        <f>IF(A590&lt;$D$1,C590,C590*1.2225)</f>
        <v>248359062723241.28</v>
      </c>
      <c r="E590" s="17">
        <f>SQRT(D590*D589)</f>
        <v>247999723456593.22</v>
      </c>
      <c r="F590" s="24">
        <f>E590/$E$507</f>
        <v>1.6146325642159576</v>
      </c>
      <c r="G590" s="24">
        <f>E590/$E$753</f>
        <v>0.44568142850840309</v>
      </c>
    </row>
    <row r="591" spans="1:7" hidden="1" x14ac:dyDescent="0.2">
      <c r="A591" s="5">
        <v>39814</v>
      </c>
      <c r="B591" s="26">
        <f>INPC!B359</f>
        <v>0.64</v>
      </c>
      <c r="C591" s="17">
        <f>C590*(1+B591/100)</f>
        <v>204456900388278.12</v>
      </c>
      <c r="D591" s="17">
        <f>IF(A591&lt;$D$1,C591,C591*1.2225)</f>
        <v>249948560724670</v>
      </c>
      <c r="E591" s="17">
        <f>SQRT(D591*D590)</f>
        <v>249152544178465.5</v>
      </c>
      <c r="F591" s="24">
        <f>E591/$E$507</f>
        <v>1.6221381446750571</v>
      </c>
      <c r="G591" s="24">
        <f>E591/$E$753</f>
        <v>0.4477531678594675</v>
      </c>
    </row>
    <row r="592" spans="1:7" hidden="1" x14ac:dyDescent="0.2">
      <c r="A592" s="5">
        <v>39845</v>
      </c>
      <c r="B592" s="26">
        <f>INPC!B360</f>
        <v>0.31</v>
      </c>
      <c r="C592" s="17">
        <f>C591*(1+B592/100)</f>
        <v>205090716779481.81</v>
      </c>
      <c r="D592" s="17">
        <f>IF(A592&lt;$D$1,C592,C592*1.2225)</f>
        <v>250723401262916.5</v>
      </c>
      <c r="E592" s="17">
        <f>SQRT(D592*D591)</f>
        <v>250335681207573.53</v>
      </c>
      <c r="F592" s="24">
        <f>E592/$E$507</f>
        <v>1.6298411031642908</v>
      </c>
      <c r="G592" s="24">
        <f>E592/$E$753</f>
        <v>0.44987938878384831</v>
      </c>
    </row>
    <row r="593" spans="1:7" hidden="1" x14ac:dyDescent="0.2">
      <c r="A593" s="4">
        <v>39873</v>
      </c>
      <c r="B593" s="26">
        <f>INPC!B361</f>
        <v>0.2</v>
      </c>
      <c r="C593" s="17">
        <f>C592*(1+B593/100)</f>
        <v>205500898213040.78</v>
      </c>
      <c r="D593" s="17">
        <f>IF(A593&lt;$D$1,C593,C593*1.2225)</f>
        <v>251224848065442.34</v>
      </c>
      <c r="E593" s="17">
        <f>SQRT(D593*D592)</f>
        <v>250973999427684</v>
      </c>
      <c r="F593" s="24">
        <f>E593/$E$507</f>
        <v>1.633996952090885</v>
      </c>
      <c r="G593" s="24">
        <f>E593/$E$753</f>
        <v>0.45102651335405602</v>
      </c>
    </row>
    <row r="594" spans="1:7" hidden="1" x14ac:dyDescent="0.2">
      <c r="A594" s="5">
        <v>39904</v>
      </c>
      <c r="B594" s="26">
        <f>INPC!B362</f>
        <v>0.55000000000000004</v>
      </c>
      <c r="C594" s="17">
        <f>C593*(1+B594/100)</f>
        <v>206631153153212.53</v>
      </c>
      <c r="D594" s="17">
        <f>IF(A594&lt;$D$1,C594,C594*1.2225)</f>
        <v>252606584729802.31</v>
      </c>
      <c r="E594" s="17">
        <f>SQRT(D594*D593)</f>
        <v>251914769057065.94</v>
      </c>
      <c r="F594" s="24">
        <f>E594/$E$507</f>
        <v>1.640121947949162</v>
      </c>
      <c r="G594" s="24">
        <f>E594/$E$753</f>
        <v>0.45271717472446538</v>
      </c>
    </row>
    <row r="595" spans="1:7" hidden="1" x14ac:dyDescent="0.2">
      <c r="A595" s="5">
        <v>39934</v>
      </c>
      <c r="B595" s="26">
        <f>INPC!B363</f>
        <v>0.6</v>
      </c>
      <c r="C595" s="17">
        <f>C594*(1+B595/100)</f>
        <v>207870940072131.81</v>
      </c>
      <c r="D595" s="17">
        <f>IF(A595&lt;$D$1,C595,C595*1.2225)</f>
        <v>254122224238181.12</v>
      </c>
      <c r="E595" s="17">
        <f>SQRT(D595*D594)</f>
        <v>253363271151814.59</v>
      </c>
      <c r="F595" s="24">
        <f>E595/$E$507</f>
        <v>1.6495525981890826</v>
      </c>
      <c r="G595" s="24">
        <f>E595/$E$753</f>
        <v>0.45532028441260169</v>
      </c>
    </row>
    <row r="596" spans="1:7" hidden="1" x14ac:dyDescent="0.2">
      <c r="A596" s="5">
        <v>39965</v>
      </c>
      <c r="B596" s="26">
        <f>INPC!B364</f>
        <v>0.42</v>
      </c>
      <c r="C596" s="17">
        <f>C595*(1+B596/100)</f>
        <v>208743998020434.75</v>
      </c>
      <c r="D596" s="17">
        <f>IF(A596&lt;$D$1,C596,C596*1.2225)</f>
        <v>255189537579981.47</v>
      </c>
      <c r="E596" s="17">
        <f>SQRT(D596*D595)</f>
        <v>254655321743210</v>
      </c>
      <c r="F596" s="24">
        <f>E596/$E$507</f>
        <v>1.657964651760774</v>
      </c>
      <c r="G596" s="24">
        <f>E596/$E$753</f>
        <v>0.457642234394046</v>
      </c>
    </row>
    <row r="597" spans="1:7" hidden="1" x14ac:dyDescent="0.2">
      <c r="A597" s="4">
        <v>39995</v>
      </c>
      <c r="B597" s="26">
        <f>INPC!B365</f>
        <v>0.23</v>
      </c>
      <c r="C597" s="17">
        <f>C596*(1+B597/100)</f>
        <v>209224109215881.75</v>
      </c>
      <c r="D597" s="17">
        <f>IF(A597&lt;$D$1,C597,C597*1.2225)</f>
        <v>255776473516415.44</v>
      </c>
      <c r="E597" s="17">
        <f>SQRT(D597*D596)</f>
        <v>255482836997893.91</v>
      </c>
      <c r="F597" s="24">
        <f>E597/$E$507</f>
        <v>1.6633522911459122</v>
      </c>
      <c r="G597" s="24">
        <f>E597/$E$753</f>
        <v>0.45912936581370895</v>
      </c>
    </row>
    <row r="598" spans="1:7" hidden="1" x14ac:dyDescent="0.2">
      <c r="A598" s="5">
        <v>40026</v>
      </c>
      <c r="B598" s="26">
        <f>INPC!B366</f>
        <v>0.08</v>
      </c>
      <c r="C598" s="17">
        <f>C597*(1+B598/100)</f>
        <v>209391488503254.44</v>
      </c>
      <c r="D598" s="17">
        <f>IF(A598&lt;$D$1,C598,C598*1.2225)</f>
        <v>255981094695228.53</v>
      </c>
      <c r="E598" s="17">
        <f>SQRT(D598*D597)</f>
        <v>255878763651884.88</v>
      </c>
      <c r="F598" s="24">
        <f>E598/$E$507</f>
        <v>1.6659300201032865</v>
      </c>
      <c r="G598" s="24">
        <f>E598/$E$753</f>
        <v>0.45984088740040996</v>
      </c>
    </row>
    <row r="599" spans="1:7" hidden="1" x14ac:dyDescent="0.2">
      <c r="A599" s="5">
        <v>40057</v>
      </c>
      <c r="B599" s="26">
        <f>INPC!B367</f>
        <v>0.16</v>
      </c>
      <c r="C599" s="17">
        <f>C598*(1+B599/100)</f>
        <v>209726514884859.66</v>
      </c>
      <c r="D599" s="17">
        <f>IF(A599&lt;$D$1,C599,C599*1.2225)</f>
        <v>256390664446740.91</v>
      </c>
      <c r="E599" s="17">
        <f>SQRT(D599*D598)</f>
        <v>256185797722500.12</v>
      </c>
      <c r="F599" s="24">
        <f>E599/$E$507</f>
        <v>1.6679290030127409</v>
      </c>
      <c r="G599" s="24">
        <f>E599/$E$753</f>
        <v>0.4603926597221098</v>
      </c>
    </row>
    <row r="600" spans="1:7" hidden="1" x14ac:dyDescent="0.2">
      <c r="A600" s="5">
        <v>40087</v>
      </c>
      <c r="B600" s="26">
        <f>INPC!B368</f>
        <v>0.24</v>
      </c>
      <c r="C600" s="17">
        <f>C599*(1+B600/100)</f>
        <v>210229858520583.31</v>
      </c>
      <c r="D600" s="17">
        <f>IF(A600&lt;$D$1,C600,C600*1.2225)</f>
        <v>257006002041413.09</v>
      </c>
      <c r="E600" s="17">
        <f>SQRT(D600*D599)</f>
        <v>256698148863988.41</v>
      </c>
      <c r="F600" s="24">
        <f>E600/$E$507</f>
        <v>1.6712647278507768</v>
      </c>
      <c r="G600" s="24">
        <f>E600/$E$753</f>
        <v>0.46131340828365552</v>
      </c>
    </row>
    <row r="601" spans="1:7" hidden="1" x14ac:dyDescent="0.2">
      <c r="A601" s="4">
        <v>40118</v>
      </c>
      <c r="B601" s="26">
        <f>INPC!B369</f>
        <v>0.37</v>
      </c>
      <c r="C601" s="17">
        <f>C600*(1+B601/100)</f>
        <v>211007708997109.47</v>
      </c>
      <c r="D601" s="17">
        <f>IF(A601&lt;$D$1,C601,C601*1.2225)</f>
        <v>257956924248966.31</v>
      </c>
      <c r="E601" s="17">
        <f>SQRT(D601*D600)</f>
        <v>257481024155424.88</v>
      </c>
      <c r="F601" s="24">
        <f>E601/$E$507</f>
        <v>1.6763617332895535</v>
      </c>
      <c r="G601" s="24">
        <f>E601/$E$753</f>
        <v>0.46272031702277922</v>
      </c>
    </row>
    <row r="602" spans="1:7" hidden="1" x14ac:dyDescent="0.2">
      <c r="A602" s="5">
        <v>40148</v>
      </c>
      <c r="B602" s="26">
        <f>INPC!B370</f>
        <v>0.24</v>
      </c>
      <c r="C602" s="17">
        <f>C601*(1+B602/100)</f>
        <v>211514127498702.53</v>
      </c>
      <c r="D602" s="17">
        <f>IF(A602&lt;$D$1,C602,C602*1.2225)</f>
        <v>258576020867163.81</v>
      </c>
      <c r="E602" s="17">
        <f>SQRT(D602*D601)</f>
        <v>258266287051620.62</v>
      </c>
      <c r="F602" s="24">
        <f>E602/$E$507</f>
        <v>1.6814742835214498</v>
      </c>
      <c r="G602" s="24">
        <f>E602/$E$753</f>
        <v>0.46413151653725138</v>
      </c>
    </row>
    <row r="603" spans="1:7" hidden="1" x14ac:dyDescent="0.2">
      <c r="A603" s="5">
        <v>40179</v>
      </c>
      <c r="B603" s="26">
        <f>INPC!B371</f>
        <v>0.88</v>
      </c>
      <c r="C603" s="17">
        <f>C602*(1+B603/100)</f>
        <v>213375451820691.09</v>
      </c>
      <c r="D603" s="17">
        <f>IF(A603&lt;$D$1,C603,C603*1.2225)</f>
        <v>260851489850794.84</v>
      </c>
      <c r="E603" s="17">
        <f>SQRT(D603*D602)</f>
        <v>259711263296164.91</v>
      </c>
      <c r="F603" s="24">
        <f>E603/$E$507</f>
        <v>1.690881978281916</v>
      </c>
      <c r="G603" s="24">
        <f>E603/$E$753</f>
        <v>0.46672828990398424</v>
      </c>
    </row>
    <row r="604" spans="1:7" hidden="1" x14ac:dyDescent="0.2">
      <c r="A604" s="4">
        <v>40210</v>
      </c>
      <c r="B604" s="26">
        <f>INPC!B372</f>
        <v>0.7</v>
      </c>
      <c r="C604" s="17">
        <f>C603*(1+B604/100)</f>
        <v>214869079983435.91</v>
      </c>
      <c r="D604" s="17">
        <f>IF(A604&lt;$D$1,C604,C604*1.2225)</f>
        <v>262677450279750.38</v>
      </c>
      <c r="E604" s="17">
        <f>SQRT(D604*D603)</f>
        <v>261762877917555.31</v>
      </c>
      <c r="F604" s="24">
        <f>E604/$E$507</f>
        <v>1.7042392664705794</v>
      </c>
      <c r="G604" s="24">
        <f>E604/$E$753</f>
        <v>0.4704152558508235</v>
      </c>
    </row>
    <row r="605" spans="1:7" hidden="1" x14ac:dyDescent="0.2">
      <c r="A605" s="5">
        <v>40238</v>
      </c>
      <c r="B605" s="26">
        <f>INPC!B373</f>
        <v>0.71</v>
      </c>
      <c r="C605" s="17">
        <f>C604*(1+B605/100)</f>
        <v>216394650451318.31</v>
      </c>
      <c r="D605" s="17">
        <f>IF(A605&lt;$D$1,C605,C605*1.2225)</f>
        <v>264542460176736.62</v>
      </c>
      <c r="E605" s="17">
        <f>SQRT(D605*D604)</f>
        <v>263608305881961.12</v>
      </c>
      <c r="F605" s="24">
        <f>E605/$E$507</f>
        <v>1.7162541511838114</v>
      </c>
      <c r="G605" s="24">
        <f>E605/$E$753</f>
        <v>0.47373168282066924</v>
      </c>
    </row>
    <row r="606" spans="1:7" hidden="1" x14ac:dyDescent="0.2">
      <c r="A606" s="5">
        <v>40269</v>
      </c>
      <c r="B606" s="26">
        <f>INPC!B374</f>
        <v>0.73</v>
      </c>
      <c r="C606" s="17">
        <f>C605*(1+B606/100)</f>
        <v>217974331399612.97</v>
      </c>
      <c r="D606" s="17">
        <f>IF(A606&lt;$D$1,C606,C606*1.2225)</f>
        <v>266473620136026.84</v>
      </c>
      <c r="E606" s="17">
        <f>SQRT(D606*D605)</f>
        <v>265506284375691.78</v>
      </c>
      <c r="F606" s="24">
        <f>E606/$E$507</f>
        <v>1.7286111725524076</v>
      </c>
      <c r="G606" s="24">
        <f>E606/$E$753</f>
        <v>0.47714254858525207</v>
      </c>
    </row>
    <row r="607" spans="1:7" hidden="1" x14ac:dyDescent="0.2">
      <c r="A607" s="5">
        <v>40299</v>
      </c>
      <c r="B607" s="26">
        <f>INPC!B375</f>
        <v>0.43</v>
      </c>
      <c r="C607" s="17">
        <f>C606*(1+B607/100)</f>
        <v>218911621024631.31</v>
      </c>
      <c r="D607" s="17">
        <f>IF(A607&lt;$D$1,C607,C607*1.2225)</f>
        <v>267619456702611.75</v>
      </c>
      <c r="E607" s="17">
        <f>SQRT(D607*D606)</f>
        <v>267045923852774.16</v>
      </c>
      <c r="F607" s="24">
        <f>E607/$E$507</f>
        <v>1.7386351838787135</v>
      </c>
      <c r="G607" s="24">
        <f>E607/$E$753</f>
        <v>0.47990944167678451</v>
      </c>
    </row>
    <row r="608" spans="1:7" hidden="1" x14ac:dyDescent="0.2">
      <c r="A608" s="4">
        <v>40330</v>
      </c>
      <c r="B608" s="26">
        <f>INPC!B376</f>
        <v>-0.11</v>
      </c>
      <c r="C608" s="17">
        <f>C607*(1+B608/100)</f>
        <v>218670818241504.22</v>
      </c>
      <c r="D608" s="17">
        <f>IF(A608&lt;$D$1,C608,C608*1.2225)</f>
        <v>267325075300238.88</v>
      </c>
      <c r="E608" s="17">
        <f>SQRT(D608*D607)</f>
        <v>267472225501704.56</v>
      </c>
      <c r="F608" s="24">
        <f>E608/$E$507</f>
        <v>1.7414106729597023</v>
      </c>
      <c r="G608" s="24">
        <f>E608/$E$753</f>
        <v>0.48067555030474052</v>
      </c>
    </row>
    <row r="609" spans="1:7" x14ac:dyDescent="0.2">
      <c r="A609" s="5">
        <v>40360</v>
      </c>
      <c r="B609" s="26">
        <f>INPC!B377</f>
        <v>-7.0000000000000007E-2</v>
      </c>
      <c r="C609" s="17">
        <f>C608*(1+B609/100)</f>
        <v>218517748668735.16</v>
      </c>
      <c r="D609" s="17">
        <f>IF(A609&lt;$D$1,C609,C609*1.2225)</f>
        <v>267137947747528.72</v>
      </c>
      <c r="E609" s="17">
        <f>SQRT(D609*D608)</f>
        <v>267231495144489.66</v>
      </c>
      <c r="F609" s="24">
        <f>E609/$E$507</f>
        <v>1.7398433684944514</v>
      </c>
      <c r="G609" s="25">
        <f>E609/$E$753</f>
        <v>0.48024293268729523</v>
      </c>
    </row>
    <row r="610" spans="1:7" hidden="1" x14ac:dyDescent="0.2">
      <c r="A610" s="5">
        <v>40391</v>
      </c>
      <c r="B610" s="26">
        <f>INPC!B378</f>
        <v>-7.0000000000000007E-2</v>
      </c>
      <c r="C610" s="17">
        <f>C609*(1+B610/100)</f>
        <v>218364786244667.03</v>
      </c>
      <c r="D610" s="17">
        <f>IF(A610&lt;$D$1,C610,C610*1.2225)</f>
        <v>266950951184105.44</v>
      </c>
      <c r="E610" s="17">
        <f>SQRT(D610*D609)</f>
        <v>267044433097888.5</v>
      </c>
      <c r="F610" s="24">
        <f>E610/$E$507</f>
        <v>1.7386254781365051</v>
      </c>
      <c r="G610" s="24">
        <f>E610/$E$753</f>
        <v>0.47990676263441406</v>
      </c>
    </row>
    <row r="611" spans="1:7" hidden="1" x14ac:dyDescent="0.2">
      <c r="A611" s="5">
        <v>40422</v>
      </c>
      <c r="B611" s="26">
        <f>INPC!B379</f>
        <v>0.54</v>
      </c>
      <c r="C611" s="17">
        <f>C610*(1+B611/100)</f>
        <v>219543956090388.25</v>
      </c>
      <c r="D611" s="17">
        <f>IF(A611&lt;$D$1,C611,C611*1.2225)</f>
        <v>268392486320499.62</v>
      </c>
      <c r="E611" s="17">
        <f>SQRT(D611*D610)</f>
        <v>267670748334449.84</v>
      </c>
      <c r="F611" s="24">
        <f>E611/$E$507</f>
        <v>1.7427031801690784</v>
      </c>
      <c r="G611" s="24">
        <f>E611/$E$753</f>
        <v>0.48103231658841311</v>
      </c>
    </row>
    <row r="612" spans="1:7" hidden="1" x14ac:dyDescent="0.2">
      <c r="A612" s="4">
        <v>40452</v>
      </c>
      <c r="B612" s="26">
        <f>INPC!B380</f>
        <v>0.92</v>
      </c>
      <c r="C612" s="17">
        <f>C611*(1+B612/100)</f>
        <v>221563760486419.84</v>
      </c>
      <c r="D612" s="17">
        <f>IF(A612&lt;$D$1,C612,C612*1.2225)</f>
        <v>270861697194648.25</v>
      </c>
      <c r="E612" s="17">
        <f>SQRT(D612*D611)</f>
        <v>269624265152567.34</v>
      </c>
      <c r="F612" s="24">
        <f>E612/$E$507</f>
        <v>1.7554217905986103</v>
      </c>
      <c r="G612" s="24">
        <f>E612/$E$753</f>
        <v>0.48454299052779831</v>
      </c>
    </row>
    <row r="613" spans="1:7" hidden="1" x14ac:dyDescent="0.2">
      <c r="A613" s="5">
        <v>40483</v>
      </c>
      <c r="B613" s="26">
        <f>INPC!B381</f>
        <v>1.03</v>
      </c>
      <c r="C613" s="17">
        <f>C612*(1+B613/100)</f>
        <v>223845867219429.97</v>
      </c>
      <c r="D613" s="17">
        <f>IF(A613&lt;$D$1,C613,C613*1.2225)</f>
        <v>273651572675753.12</v>
      </c>
      <c r="E613" s="17">
        <f>SQRT(D613*D612)</f>
        <v>272253061350904.03</v>
      </c>
      <c r="F613" s="24">
        <f>E613/$E$507</f>
        <v>1.772536890113084</v>
      </c>
      <c r="G613" s="24">
        <f>E613/$E$753</f>
        <v>0.48926721210596158</v>
      </c>
    </row>
    <row r="614" spans="1:7" hidden="1" x14ac:dyDescent="0.2">
      <c r="A614" s="5">
        <v>40513</v>
      </c>
      <c r="B614" s="26">
        <f>INPC!B382</f>
        <v>0.6</v>
      </c>
      <c r="C614" s="17">
        <f>C613*(1+B614/100)</f>
        <v>225188942422746.56</v>
      </c>
      <c r="D614" s="17">
        <f>IF(A614&lt;$D$1,C614,C614*1.2225)</f>
        <v>275293482111807.66</v>
      </c>
      <c r="E614" s="17">
        <f>SQRT(D614*D613)</f>
        <v>274471299642203.91</v>
      </c>
      <c r="F614" s="24">
        <f>E614/$E$507</f>
        <v>1.7869790021058032</v>
      </c>
      <c r="G614" s="24">
        <f>E614/$E$753</f>
        <v>0.49325361820617486</v>
      </c>
    </row>
    <row r="615" spans="1:7" hidden="1" x14ac:dyDescent="0.2">
      <c r="A615" s="5">
        <v>40544</v>
      </c>
      <c r="B615" s="26">
        <f>INPC!B383</f>
        <v>0.94</v>
      </c>
      <c r="C615" s="17">
        <f>C614*(1+B615/100)</f>
        <v>227305718481520.41</v>
      </c>
      <c r="D615" s="17">
        <f>IF(A615&lt;$D$1,C615,C615*1.2225)</f>
        <v>277881240843658.69</v>
      </c>
      <c r="E615" s="17">
        <f>SQRT(D615*D614)</f>
        <v>276584335068710.41</v>
      </c>
      <c r="F615" s="24">
        <f>E615/$E$507</f>
        <v>1.8007361779664308</v>
      </c>
      <c r="G615" s="24">
        <f>E615/$E$753</f>
        <v>0.49705096376063113</v>
      </c>
    </row>
    <row r="616" spans="1:7" hidden="1" x14ac:dyDescent="0.2">
      <c r="A616" s="4">
        <v>40575</v>
      </c>
      <c r="B616" s="26">
        <f>INPC!B384</f>
        <v>0.54</v>
      </c>
      <c r="C616" s="17">
        <f>C615*(1+B616/100)</f>
        <v>228533169361320.62</v>
      </c>
      <c r="D616" s="17">
        <f>IF(A616&lt;$D$1,C616,C616*1.2225)</f>
        <v>279381799544214.44</v>
      </c>
      <c r="E616" s="17">
        <f>SQRT(D616*D615)</f>
        <v>278630510042386.84</v>
      </c>
      <c r="F616" s="24">
        <f>E616/$E$507</f>
        <v>1.8140580506626316</v>
      </c>
      <c r="G616" s="24">
        <f>E616/$E$753</f>
        <v>0.5007281540918771</v>
      </c>
    </row>
    <row r="617" spans="1:7" hidden="1" x14ac:dyDescent="0.2">
      <c r="A617" s="5">
        <v>40603</v>
      </c>
      <c r="B617" s="26">
        <f>INPC!B385</f>
        <v>0.66</v>
      </c>
      <c r="C617" s="17">
        <f>C616*(1+B617/100)</f>
        <v>230041488279105.31</v>
      </c>
      <c r="D617" s="17">
        <f>IF(A617&lt;$D$1,C617,C617*1.2225)</f>
        <v>281225719421206.22</v>
      </c>
      <c r="E617" s="17">
        <f>SQRT(D617*D616)</f>
        <v>280302243248271.09</v>
      </c>
      <c r="F617" s="24">
        <f>E617/$E$507</f>
        <v>1.8249420743836269</v>
      </c>
      <c r="G617" s="24">
        <f>E617/$E$753</f>
        <v>0.50373243342291363</v>
      </c>
    </row>
    <row r="618" spans="1:7" hidden="1" x14ac:dyDescent="0.2">
      <c r="A618" s="5">
        <v>40634</v>
      </c>
      <c r="B618" s="26">
        <f>INPC!B386</f>
        <v>0.72</v>
      </c>
      <c r="C618" s="17">
        <f>C617*(1+B618/100)</f>
        <v>231697786994714.91</v>
      </c>
      <c r="D618" s="17">
        <f>IF(A618&lt;$D$1,C618,C618*1.2225)</f>
        <v>283250544601038.94</v>
      </c>
      <c r="E618" s="17">
        <f>SQRT(D618*D617)</f>
        <v>282236316199520.38</v>
      </c>
      <c r="F618" s="24">
        <f>E618/$E$507</f>
        <v>1.8375340931372401</v>
      </c>
      <c r="G618" s="24">
        <f>E618/$E$753</f>
        <v>0.5072081647009089</v>
      </c>
    </row>
    <row r="619" spans="1:7" hidden="1" x14ac:dyDescent="0.2">
      <c r="A619" s="4">
        <v>40664</v>
      </c>
      <c r="B619" s="26">
        <f>INPC!B387</f>
        <v>0.56999999999999995</v>
      </c>
      <c r="C619" s="17">
        <f>C618*(1+B619/100)</f>
        <v>233018464380584.78</v>
      </c>
      <c r="D619" s="17">
        <f>IF(A619&lt;$D$1,C619,C619*1.2225)</f>
        <v>284865072705264.88</v>
      </c>
      <c r="E619" s="17">
        <f>SQRT(D619*D618)</f>
        <v>284056661568745.5</v>
      </c>
      <c r="F619" s="24">
        <f>E619/$E$507</f>
        <v>1.8493856745434794</v>
      </c>
      <c r="G619" s="24">
        <f>E619/$E$753</f>
        <v>0.51047951562512428</v>
      </c>
    </row>
    <row r="620" spans="1:7" hidden="1" x14ac:dyDescent="0.2">
      <c r="A620" s="5">
        <v>40695</v>
      </c>
      <c r="B620" s="26">
        <f>INPC!B388</f>
        <v>0.22</v>
      </c>
      <c r="C620" s="17">
        <f>C619*(1+B620/100)</f>
        <v>233531105002222.06</v>
      </c>
      <c r="D620" s="17">
        <f>IF(A620&lt;$D$1,C620,C620*1.2225)</f>
        <v>285491775865216.44</v>
      </c>
      <c r="E620" s="17">
        <f>SQRT(D620*D619)</f>
        <v>285178252131189.12</v>
      </c>
      <c r="F620" s="24">
        <f>E620/$E$507</f>
        <v>1.8566879272258527</v>
      </c>
      <c r="G620" s="24">
        <f>E620/$E$753</f>
        <v>0.51249513111494926</v>
      </c>
    </row>
    <row r="621" spans="1:7" hidden="1" x14ac:dyDescent="0.2">
      <c r="A621" s="5">
        <v>40725</v>
      </c>
      <c r="B621" s="26">
        <f>INPC!B389</f>
        <v>0</v>
      </c>
      <c r="C621" s="17">
        <f>C620*(1+B621/100)</f>
        <v>233531105002222.06</v>
      </c>
      <c r="D621" s="17">
        <f>IF(A621&lt;$D$1,C621,C621*1.2225)</f>
        <v>285491775865216.44</v>
      </c>
      <c r="E621" s="17">
        <f>SQRT(D621*D620)</f>
        <v>285491775865216.44</v>
      </c>
      <c r="F621" s="24">
        <f>E621/$E$507</f>
        <v>1.8587291618835344</v>
      </c>
      <c r="G621" s="24">
        <f>E621/$E$753</f>
        <v>0.5130585660402186</v>
      </c>
    </row>
    <row r="622" spans="1:7" hidden="1" x14ac:dyDescent="0.2">
      <c r="A622" s="5">
        <v>40756</v>
      </c>
      <c r="B622" s="26">
        <f>INPC!B390</f>
        <v>0.42</v>
      </c>
      <c r="C622" s="17">
        <f>C621*(1+B622/100)</f>
        <v>234511935643231.41</v>
      </c>
      <c r="D622" s="17">
        <f>IF(A622&lt;$D$1,C622,C622*1.2225)</f>
        <v>286690841323850.38</v>
      </c>
      <c r="E622" s="17">
        <f>SQRT(D622*D621)</f>
        <v>286090680403677.25</v>
      </c>
      <c r="F622" s="24">
        <f>E622/$E$507</f>
        <v>1.8626284032100064</v>
      </c>
      <c r="G622" s="24">
        <f>E622/$E$753</f>
        <v>0.51413486010426468</v>
      </c>
    </row>
    <row r="623" spans="1:7" hidden="1" x14ac:dyDescent="0.2">
      <c r="A623" s="4">
        <v>40787</v>
      </c>
      <c r="B623" s="26">
        <f>INPC!B391</f>
        <v>0.45</v>
      </c>
      <c r="C623" s="17">
        <f>C622*(1+B623/100)</f>
        <v>235567239353625.94</v>
      </c>
      <c r="D623" s="17">
        <f>IF(A623&lt;$D$1,C623,C623*1.2225)</f>
        <v>287980950109807.69</v>
      </c>
      <c r="E623" s="17">
        <f>SQRT(D623*D622)</f>
        <v>287335171658853</v>
      </c>
      <c r="F623" s="24">
        <f>E623/$E$507</f>
        <v>1.8707308159001579</v>
      </c>
      <c r="G623" s="24">
        <f>E623/$E$753</f>
        <v>0.51637134098675253</v>
      </c>
    </row>
    <row r="624" spans="1:7" hidden="1" x14ac:dyDescent="0.2">
      <c r="A624" s="5">
        <v>40817</v>
      </c>
      <c r="B624" s="26">
        <f>INPC!B392</f>
        <v>0.32</v>
      </c>
      <c r="C624" s="17">
        <f>C623*(1+B624/100)</f>
        <v>236321054519557.56</v>
      </c>
      <c r="D624" s="17">
        <f>IF(A624&lt;$D$1,C624,C624*1.2225)</f>
        <v>288902489150159.12</v>
      </c>
      <c r="E624" s="17">
        <f>SQRT(D624*D623)</f>
        <v>288441351602975.31</v>
      </c>
      <c r="F624" s="24">
        <f>E624/$E$507</f>
        <v>1.8779327358651012</v>
      </c>
      <c r="G624" s="24">
        <f>E624/$E$753</f>
        <v>0.51835926198445503</v>
      </c>
    </row>
    <row r="625" spans="1:7" hidden="1" x14ac:dyDescent="0.2">
      <c r="A625" s="5">
        <v>40848</v>
      </c>
      <c r="B625" s="26">
        <f>INPC!B393</f>
        <v>0.56999999999999995</v>
      </c>
      <c r="C625" s="17">
        <f>C624*(1+B625/100)</f>
        <v>237668084530319.06</v>
      </c>
      <c r="D625" s="17">
        <f>IF(A625&lt;$D$1,C625,C625*1.2225)</f>
        <v>290549233338315.06</v>
      </c>
      <c r="E625" s="17">
        <f>SQRT(D625*D624)</f>
        <v>289724691271057.56</v>
      </c>
      <c r="F625" s="24">
        <f>E625/$E$507</f>
        <v>1.8862880759040122</v>
      </c>
      <c r="G625" s="24">
        <f>E625/$E$753</f>
        <v>0.5206655575260809</v>
      </c>
    </row>
    <row r="626" spans="1:7" hidden="1" x14ac:dyDescent="0.2">
      <c r="A626" s="5">
        <v>40878</v>
      </c>
      <c r="B626" s="26">
        <f>INPC!B394</f>
        <v>0.51</v>
      </c>
      <c r="C626" s="17">
        <f>C625*(1+B626/100)</f>
        <v>238880191761423.72</v>
      </c>
      <c r="D626" s="17">
        <f>IF(A626&lt;$D$1,C626,C626*1.2225)</f>
        <v>292031034428340.5</v>
      </c>
      <c r="E626" s="17">
        <f>SQRT(D626*D625)</f>
        <v>291289191636334.88</v>
      </c>
      <c r="F626" s="24">
        <f>E626/$E$507</f>
        <v>1.8964739470868348</v>
      </c>
      <c r="G626" s="24">
        <f>E626/$E$753</f>
        <v>0.52347712823261339</v>
      </c>
    </row>
    <row r="627" spans="1:7" hidden="1" x14ac:dyDescent="0.2">
      <c r="A627" s="4">
        <v>40909</v>
      </c>
      <c r="B627" s="26">
        <f>INPC!B395</f>
        <v>0.51</v>
      </c>
      <c r="C627" s="17">
        <f>C626*(1+B627/100)</f>
        <v>240098480739407</v>
      </c>
      <c r="D627" s="17">
        <f>IF(A627&lt;$D$1,C627,C627*1.2225)</f>
        <v>293520392703925.06</v>
      </c>
      <c r="E627" s="17">
        <f>SQRT(D627*D626)</f>
        <v>292774766513680.19</v>
      </c>
      <c r="F627" s="24">
        <f>E627/$E$507</f>
        <v>1.9061459642169778</v>
      </c>
      <c r="G627" s="24">
        <f>E627/$E$753</f>
        <v>0.52614686158659973</v>
      </c>
    </row>
    <row r="628" spans="1:7" hidden="1" x14ac:dyDescent="0.2">
      <c r="A628" s="5">
        <v>40940</v>
      </c>
      <c r="B628" s="26">
        <f>INPC!B396</f>
        <v>0.39</v>
      </c>
      <c r="C628" s="17">
        <f>C627*(1+B628/100)</f>
        <v>241034864814290.69</v>
      </c>
      <c r="D628" s="17">
        <f>IF(A628&lt;$D$1,C628,C628*1.2225)</f>
        <v>294665122235470.38</v>
      </c>
      <c r="E628" s="17">
        <f>SQRT(D628*D627)</f>
        <v>294092200499614.31</v>
      </c>
      <c r="F628" s="24">
        <f>E628/$E$507</f>
        <v>1.9147232794867117</v>
      </c>
      <c r="G628" s="24">
        <f>E628/$E$753</f>
        <v>0.52851442818156569</v>
      </c>
    </row>
    <row r="629" spans="1:7" hidden="1" x14ac:dyDescent="0.2">
      <c r="A629" s="5">
        <v>40969</v>
      </c>
      <c r="B629" s="26">
        <f>INPC!B397</f>
        <v>0.18</v>
      </c>
      <c r="C629" s="17">
        <f>C628*(1+B629/100)</f>
        <v>241468727570956.41</v>
      </c>
      <c r="D629" s="17">
        <f>IF(A629&lt;$D$1,C629,C629*1.2225)</f>
        <v>295195519455494.19</v>
      </c>
      <c r="E629" s="17">
        <f>SQRT(D629*D628)</f>
        <v>294930201613392.56</v>
      </c>
      <c r="F629" s="24">
        <f>E629/$E$507</f>
        <v>1.9201791883413539</v>
      </c>
      <c r="G629" s="24">
        <f>E629/$E$753</f>
        <v>0.53002040378619453</v>
      </c>
    </row>
    <row r="630" spans="1:7" hidden="1" x14ac:dyDescent="0.2">
      <c r="A630" s="5">
        <v>41000</v>
      </c>
      <c r="B630" s="26">
        <f>INPC!B398</f>
        <v>0.64</v>
      </c>
      <c r="C630" s="17">
        <f>C629*(1+B630/100)</f>
        <v>243014127427410.53</v>
      </c>
      <c r="D630" s="17">
        <f>IF(A630&lt;$D$1,C630,C630*1.2225)</f>
        <v>297084770780009.38</v>
      </c>
      <c r="E630" s="17">
        <f>SQRT(D630*D629)</f>
        <v>296138638533915.88</v>
      </c>
      <c r="F630" s="24">
        <f>E630/$E$507</f>
        <v>1.9280468648713209</v>
      </c>
      <c r="G630" s="24">
        <f>E630/$E$753</f>
        <v>0.53219209126025491</v>
      </c>
    </row>
    <row r="631" spans="1:7" hidden="1" x14ac:dyDescent="0.2">
      <c r="A631" s="4">
        <v>41030</v>
      </c>
      <c r="B631" s="26">
        <f>INPC!B399</f>
        <v>0.55000000000000004</v>
      </c>
      <c r="C631" s="17">
        <f>C630*(1+B631/100)</f>
        <v>244350705128261.31</v>
      </c>
      <c r="D631" s="17">
        <f>IF(A631&lt;$D$1,C631,C631*1.2225)</f>
        <v>298718737019299.44</v>
      </c>
      <c r="E631" s="17">
        <f>SQRT(D631*D630)</f>
        <v>297900633626503.81</v>
      </c>
      <c r="F631" s="24">
        <f>E631/$E$507</f>
        <v>1.939518549657208</v>
      </c>
      <c r="G631" s="24">
        <f>E631/$E$753</f>
        <v>0.53535858063751762</v>
      </c>
    </row>
    <row r="632" spans="1:7" hidden="1" x14ac:dyDescent="0.2">
      <c r="A632" s="5">
        <v>41061</v>
      </c>
      <c r="B632" s="26">
        <f>INPC!B400</f>
        <v>0.26</v>
      </c>
      <c r="C632" s="17">
        <f>C631*(1+B632/100)</f>
        <v>244986016961594.78</v>
      </c>
      <c r="D632" s="17">
        <f>IF(A632&lt;$D$1,C632,C632*1.2225)</f>
        <v>299495405735549.62</v>
      </c>
      <c r="E632" s="17">
        <f>SQRT(D632*D631)</f>
        <v>299106819287702</v>
      </c>
      <c r="F632" s="24">
        <f>E632/$E$507</f>
        <v>1.9473715690876987</v>
      </c>
      <c r="G632" s="24">
        <f>E632/$E$753</f>
        <v>0.53752622236322811</v>
      </c>
    </row>
    <row r="633" spans="1:7" hidden="1" x14ac:dyDescent="0.2">
      <c r="A633" s="5">
        <v>41091</v>
      </c>
      <c r="B633" s="26">
        <f>INPC!B401</f>
        <v>0.43</v>
      </c>
      <c r="C633" s="17">
        <f>C632*(1+B633/100)</f>
        <v>246039456834529.62</v>
      </c>
      <c r="D633" s="17">
        <f>IF(A633&lt;$D$1,C633,C633*1.2225)</f>
        <v>300783235980212.44</v>
      </c>
      <c r="E633" s="17">
        <f>SQRT(D633*D632)</f>
        <v>300138630133385.69</v>
      </c>
      <c r="F633" s="24">
        <f>E633/$E$507</f>
        <v>1.9540892999316353</v>
      </c>
      <c r="G633" s="24">
        <f>E633/$E$753</f>
        <v>0.53938049431662105</v>
      </c>
    </row>
    <row r="634" spans="1:7" hidden="1" x14ac:dyDescent="0.2">
      <c r="A634" s="4">
        <v>41122</v>
      </c>
      <c r="B634" s="26">
        <f>INPC!B402</f>
        <v>0.45</v>
      </c>
      <c r="C634" s="17">
        <f>C633*(1+B634/100)</f>
        <v>247146634390285</v>
      </c>
      <c r="D634" s="17">
        <f>IF(A634&lt;$D$1,C634,C634*1.2225)</f>
        <v>302136760542123.38</v>
      </c>
      <c r="E634" s="17">
        <f>SQRT(D634*D633)</f>
        <v>301459238611853.5</v>
      </c>
      <c r="F634" s="24">
        <f>E634/$E$507</f>
        <v>1.9626872831236892</v>
      </c>
      <c r="G634" s="24">
        <f>E634/$E$753</f>
        <v>0.54175376580652601</v>
      </c>
    </row>
    <row r="635" spans="1:7" hidden="1" x14ac:dyDescent="0.2">
      <c r="A635" s="5">
        <v>41153</v>
      </c>
      <c r="B635" s="26">
        <f>INPC!B403</f>
        <v>0.63</v>
      </c>
      <c r="C635" s="17">
        <f>C634*(1+B635/100)</f>
        <v>248703658186943.78</v>
      </c>
      <c r="D635" s="17">
        <f>IF(A635&lt;$D$1,C635,C635*1.2225)</f>
        <v>304040222133538.75</v>
      </c>
      <c r="E635" s="17">
        <f>SQRT(D635*D634)</f>
        <v>303086997065091.88</v>
      </c>
      <c r="F635" s="24">
        <f>E635/$E$507</f>
        <v>1.973285003833392</v>
      </c>
      <c r="G635" s="24">
        <f>E635/$E$753</f>
        <v>0.54467901791001427</v>
      </c>
    </row>
    <row r="636" spans="1:7" hidden="1" x14ac:dyDescent="0.2">
      <c r="A636" s="5">
        <v>41183</v>
      </c>
      <c r="B636" s="26">
        <f>INPC!B404</f>
        <v>0.71</v>
      </c>
      <c r="C636" s="17">
        <f>C635*(1+B636/100)</f>
        <v>250469454160071.09</v>
      </c>
      <c r="D636" s="17">
        <f>IF(A636&lt;$D$1,C636,C636*1.2225)</f>
        <v>306198907710686.88</v>
      </c>
      <c r="E636" s="17">
        <f>SQRT(D636*D635)</f>
        <v>305117655859840.69</v>
      </c>
      <c r="F636" s="24">
        <f>E636/$E$507</f>
        <v>1.9865058565469105</v>
      </c>
      <c r="G636" s="24">
        <f>E636/$E$753</f>
        <v>0.54832832404569309</v>
      </c>
    </row>
    <row r="637" spans="1:7" hidden="1" x14ac:dyDescent="0.2">
      <c r="A637" s="5">
        <v>41214</v>
      </c>
      <c r="B637" s="26">
        <f>INPC!B405</f>
        <v>0.54</v>
      </c>
      <c r="C637" s="17">
        <f>C636*(1+B637/100)</f>
        <v>251821989212535.5</v>
      </c>
      <c r="D637" s="17">
        <f>IF(A637&lt;$D$1,C637,C637*1.2225)</f>
        <v>307852381812324.62</v>
      </c>
      <c r="E637" s="17">
        <f>SQRT(D637*D636)</f>
        <v>307024531669811.56</v>
      </c>
      <c r="F637" s="24">
        <f>E637/$E$507</f>
        <v>1.9989208049822604</v>
      </c>
      <c r="G637" s="24">
        <f>E637/$E$753</f>
        <v>0.55175517921766948</v>
      </c>
    </row>
    <row r="638" spans="1:7" hidden="1" x14ac:dyDescent="0.2">
      <c r="A638" s="4">
        <v>41244</v>
      </c>
      <c r="B638" s="26">
        <f>INPC!B406</f>
        <v>0.74</v>
      </c>
      <c r="C638" s="17">
        <f>C637*(1+B638/100)</f>
        <v>253685471932708.28</v>
      </c>
      <c r="D638" s="17">
        <f>IF(A638&lt;$D$1,C638,C638*1.2225)</f>
        <v>310130489437735.88</v>
      </c>
      <c r="E638" s="17">
        <f>SQRT(D638*D637)</f>
        <v>308989336136425.56</v>
      </c>
      <c r="F638" s="24">
        <f>E638/$E$507</f>
        <v>2.0117129050293689</v>
      </c>
      <c r="G638" s="24">
        <f>E638/$E$753</f>
        <v>0.55528613824139383</v>
      </c>
    </row>
    <row r="639" spans="1:7" hidden="1" x14ac:dyDescent="0.2">
      <c r="A639" s="5">
        <v>41275</v>
      </c>
      <c r="B639" s="26">
        <f>INPC!B407</f>
        <v>0.92</v>
      </c>
      <c r="C639" s="17">
        <f>C638*(1+B639/100)</f>
        <v>256019378274489.22</v>
      </c>
      <c r="D639" s="17">
        <f>IF(A639&lt;$D$1,C639,C639*1.2225)</f>
        <v>312983689940563.06</v>
      </c>
      <c r="E639" s="17">
        <f>SQRT(D639*D638)</f>
        <v>311553823515769.75</v>
      </c>
      <c r="F639" s="24">
        <f>E639/$E$507</f>
        <v>2.0284093141039325</v>
      </c>
      <c r="G639" s="24">
        <f>E639/$E$753</f>
        <v>0.55989479014909627</v>
      </c>
    </row>
    <row r="640" spans="1:7" hidden="1" x14ac:dyDescent="0.2">
      <c r="A640" s="5">
        <v>41306</v>
      </c>
      <c r="B640" s="26">
        <f>INPC!B408</f>
        <v>0.52</v>
      </c>
      <c r="C640" s="17">
        <f>C639*(1+B640/100)</f>
        <v>257350679041516.59</v>
      </c>
      <c r="D640" s="17">
        <f>IF(A640&lt;$D$1,C640,C640*1.2225)</f>
        <v>314611205128254</v>
      </c>
      <c r="E640" s="17">
        <f>SQRT(D640*D639)</f>
        <v>313796392391130.5</v>
      </c>
      <c r="F640" s="24">
        <f>E640/$E$507</f>
        <v>2.0430098333431741</v>
      </c>
      <c r="G640" s="24">
        <f>E640/$E$753</f>
        <v>0.56392492085234358</v>
      </c>
    </row>
    <row r="641" spans="1:7" hidden="1" x14ac:dyDescent="0.2">
      <c r="A641" s="5">
        <v>41334</v>
      </c>
      <c r="B641" s="26">
        <f>INPC!B409</f>
        <v>0.6</v>
      </c>
      <c r="C641" s="17">
        <f>C640*(1+B641/100)</f>
        <v>258894783115765.69</v>
      </c>
      <c r="D641" s="17">
        <f>IF(A641&lt;$D$1,C641,C641*1.2225)</f>
        <v>316498872359023.56</v>
      </c>
      <c r="E641" s="17">
        <f>SQRT(D641*D640)</f>
        <v>315553627224606.38</v>
      </c>
      <c r="F641" s="24">
        <f>E641/$E$507</f>
        <v>2.0544505258792745</v>
      </c>
      <c r="G641" s="24">
        <f>E641/$E$753</f>
        <v>0.56708285554635274</v>
      </c>
    </row>
    <row r="642" spans="1:7" hidden="1" x14ac:dyDescent="0.2">
      <c r="A642" s="4">
        <v>41365</v>
      </c>
      <c r="B642" s="26">
        <f>INPC!B410</f>
        <v>0.59</v>
      </c>
      <c r="C642" s="17">
        <f>C641*(1+B642/100)</f>
        <v>260422262336148.72</v>
      </c>
      <c r="D642" s="17">
        <f>IF(A642&lt;$D$1,C642,C642*1.2225)</f>
        <v>318366215705941.81</v>
      </c>
      <c r="E642" s="17">
        <f>SQRT(D642*D641)</f>
        <v>317431170914483.81</v>
      </c>
      <c r="F642" s="24">
        <f>E642/$E$507</f>
        <v>2.0666745039553827</v>
      </c>
      <c r="G642" s="24">
        <f>E642/$E$753</f>
        <v>0.57045699783219272</v>
      </c>
    </row>
    <row r="643" spans="1:7" hidden="1" x14ac:dyDescent="0.2">
      <c r="A643" s="5">
        <v>41395</v>
      </c>
      <c r="B643" s="26">
        <f>INPC!B411</f>
        <v>0.35</v>
      </c>
      <c r="C643" s="17">
        <f>C642*(1+B643/100)</f>
        <v>261333740254325.25</v>
      </c>
      <c r="D643" s="17">
        <f>IF(A643&lt;$D$1,C643,C643*1.2225)</f>
        <v>319480497460912.62</v>
      </c>
      <c r="E643" s="17">
        <f>SQRT(D643*D642)</f>
        <v>318922869936419.75</v>
      </c>
      <c r="F643" s="24">
        <f>E643/$E$507</f>
        <v>2.0763863930787125</v>
      </c>
      <c r="G643" s="24">
        <f>E643/$E$753</f>
        <v>0.57313773691421577</v>
      </c>
    </row>
    <row r="644" spans="1:7" hidden="1" x14ac:dyDescent="0.2">
      <c r="A644" s="5">
        <v>41426</v>
      </c>
      <c r="B644" s="26">
        <f>INPC!B412</f>
        <v>0.28000000000000003</v>
      </c>
      <c r="C644" s="17">
        <f>C643*(1+B644/100)</f>
        <v>262065474727037.34</v>
      </c>
      <c r="D644" s="17">
        <f>IF(A644&lt;$D$1,C644,C644*1.2225)</f>
        <v>320375042853803.12</v>
      </c>
      <c r="E644" s="17">
        <f>SQRT(D644*D643)</f>
        <v>319927457504032</v>
      </c>
      <c r="F644" s="24">
        <f>E644/$E$507</f>
        <v>2.0829268834375942</v>
      </c>
      <c r="G644" s="24">
        <f>E644/$E$753</f>
        <v>0.57494308579104048</v>
      </c>
    </row>
    <row r="645" spans="1:7" hidden="1" x14ac:dyDescent="0.2">
      <c r="A645" s="5">
        <v>41456</v>
      </c>
      <c r="B645" s="26">
        <f>INPC!B413</f>
        <v>-0.13</v>
      </c>
      <c r="C645" s="17">
        <f>C644*(1+B645/100)</f>
        <v>261724789609892.22</v>
      </c>
      <c r="D645" s="17">
        <f>IF(A645&lt;$D$1,C645,C645*1.2225)</f>
        <v>319958555298093.19</v>
      </c>
      <c r="E645" s="17">
        <f>SQRT(D645*D644)</f>
        <v>320166731352693.06</v>
      </c>
      <c r="F645" s="24">
        <f>E645/$E$507</f>
        <v>2.0844847051255733</v>
      </c>
      <c r="G645" s="24">
        <f>E645/$E$753</f>
        <v>0.57537308591035363</v>
      </c>
    </row>
    <row r="646" spans="1:7" hidden="1" x14ac:dyDescent="0.2">
      <c r="A646" s="4">
        <v>41487</v>
      </c>
      <c r="B646" s="26">
        <f>INPC!B414</f>
        <v>0.16</v>
      </c>
      <c r="C646" s="17">
        <f>C645*(1+B646/100)</f>
        <v>262143549273268.06</v>
      </c>
      <c r="D646" s="17">
        <f>IF(A646&lt;$D$1,C646,C646*1.2225)</f>
        <v>320470488986570.19</v>
      </c>
      <c r="E646" s="17">
        <f>SQRT(D646*D645)</f>
        <v>320214419837421.56</v>
      </c>
      <c r="F646" s="24">
        <f>E646/$E$507</f>
        <v>2.0847951868442927</v>
      </c>
      <c r="G646" s="24">
        <f>E646/$E$753</f>
        <v>0.5754587871026815</v>
      </c>
    </row>
    <row r="647" spans="1:7" hidden="1" x14ac:dyDescent="0.2">
      <c r="A647" s="5">
        <v>41518</v>
      </c>
      <c r="B647" s="26">
        <f>INPC!B415</f>
        <v>0.27</v>
      </c>
      <c r="C647" s="17">
        <f>C646*(1+B647/100)</f>
        <v>262851336856305.88</v>
      </c>
      <c r="D647" s="17">
        <f>IF(A647&lt;$D$1,C647,C647*1.2225)</f>
        <v>321335759306833.94</v>
      </c>
      <c r="E647" s="17">
        <f>SQRT(D647*D646)</f>
        <v>320902832511543.75</v>
      </c>
      <c r="F647" s="24">
        <f>E647/$E$507</f>
        <v>2.0892771818472071</v>
      </c>
      <c r="G647" s="24">
        <f>E647/$E$753</f>
        <v>0.5766959366435348</v>
      </c>
    </row>
    <row r="648" spans="1:7" hidden="1" x14ac:dyDescent="0.2">
      <c r="A648" s="5">
        <v>41548</v>
      </c>
      <c r="B648" s="26">
        <f>INPC!B416</f>
        <v>0.61</v>
      </c>
      <c r="C648" s="17">
        <f>C647*(1+B648/100)</f>
        <v>264454730011129.34</v>
      </c>
      <c r="D648" s="17">
        <f>IF(A648&lt;$D$1,C648,C648*1.2225)</f>
        <v>323295907438605.62</v>
      </c>
      <c r="E648" s="17">
        <f>SQRT(D648*D647)</f>
        <v>322314343301033.12</v>
      </c>
      <c r="F648" s="24">
        <f>E648/$E$507</f>
        <v>2.098466995665087</v>
      </c>
      <c r="G648" s="24">
        <f>E648/$E$753</f>
        <v>0.57923256908911391</v>
      </c>
    </row>
    <row r="649" spans="1:7" hidden="1" x14ac:dyDescent="0.2">
      <c r="A649" s="4">
        <v>41579</v>
      </c>
      <c r="B649" s="26">
        <f>INPC!B417</f>
        <v>0.54</v>
      </c>
      <c r="C649" s="17">
        <f>C648*(1+B649/100)</f>
        <v>265882785553189.47</v>
      </c>
      <c r="D649" s="17">
        <f>IF(A649&lt;$D$1,C649,C649*1.2225)</f>
        <v>325041705338774.12</v>
      </c>
      <c r="E649" s="17">
        <f>SQRT(D649*D648)</f>
        <v>324167631146126.06</v>
      </c>
      <c r="F649" s="24">
        <f>E649/$E$507</f>
        <v>2.1105330530938824</v>
      </c>
      <c r="G649" s="24">
        <f>E649/$E$753</f>
        <v>0.58256312108621267</v>
      </c>
    </row>
    <row r="650" spans="1:7" hidden="1" x14ac:dyDescent="0.2">
      <c r="A650" s="5">
        <v>41609</v>
      </c>
      <c r="B650" s="26">
        <f>INPC!B418</f>
        <v>0.72</v>
      </c>
      <c r="C650" s="17">
        <f>C649*(1+B650/100)</f>
        <v>267797141609172.47</v>
      </c>
      <c r="D650" s="17">
        <f>IF(A650&lt;$D$1,C650,C650*1.2225)</f>
        <v>327382005617213.31</v>
      </c>
      <c r="E650" s="17">
        <f>SQRT(D650*D649)</f>
        <v>326209756756365.5</v>
      </c>
      <c r="F650" s="24">
        <f>E650/$E$507</f>
        <v>2.1238285619136295</v>
      </c>
      <c r="G650" s="24">
        <f>E650/$E$753</f>
        <v>0.58623303428804896</v>
      </c>
    </row>
    <row r="651" spans="1:7" hidden="1" x14ac:dyDescent="0.2">
      <c r="A651" s="5">
        <v>41640</v>
      </c>
      <c r="B651" s="26">
        <f>INPC!B419</f>
        <v>0.63</v>
      </c>
      <c r="C651" s="17">
        <f>C650*(1+B651/100)</f>
        <v>269484263601310.25</v>
      </c>
      <c r="D651" s="17">
        <f>IF(A651&lt;$D$1,C651,C651*1.2225)</f>
        <v>329444512252601.75</v>
      </c>
      <c r="E651" s="17">
        <f>SQRT(D651*D650)</f>
        <v>328411639807180.62</v>
      </c>
      <c r="F651" s="24">
        <f>E651/$E$507</f>
        <v>2.1381641911106661</v>
      </c>
      <c r="G651" s="24">
        <f>E651/$E$753</f>
        <v>0.5901900483113629</v>
      </c>
    </row>
    <row r="652" spans="1:7" hidden="1" x14ac:dyDescent="0.2">
      <c r="A652" s="5">
        <v>41671</v>
      </c>
      <c r="B652" s="26">
        <f>INPC!B420</f>
        <v>0.64</v>
      </c>
      <c r="C652" s="17">
        <f>C651*(1+B652/100)</f>
        <v>271208962888358.62</v>
      </c>
      <c r="D652" s="17">
        <f>IF(A652&lt;$D$1,C652,C652*1.2225)</f>
        <v>331552957131018.38</v>
      </c>
      <c r="E652" s="17">
        <f>SQRT(D652*D651)</f>
        <v>330497053312032</v>
      </c>
      <c r="F652" s="24">
        <f>E652/$E$507</f>
        <v>2.1517415310683781</v>
      </c>
      <c r="G652" s="24">
        <f>E652/$E$753</f>
        <v>0.59393775438505758</v>
      </c>
    </row>
    <row r="653" spans="1:7" hidden="1" x14ac:dyDescent="0.2">
      <c r="A653" s="4">
        <v>41699</v>
      </c>
      <c r="B653" s="26">
        <f>INPC!B421</f>
        <v>0.82</v>
      </c>
      <c r="C653" s="17">
        <f>C652*(1+B653/100)</f>
        <v>273432876384043.16</v>
      </c>
      <c r="D653" s="17">
        <f>IF(A653&lt;$D$1,C653,C653*1.2225)</f>
        <v>334271691379492.75</v>
      </c>
      <c r="E653" s="17">
        <f>SQRT(D653*D652)</f>
        <v>332909548919910</v>
      </c>
      <c r="F653" s="24">
        <f>E653/$E$507</f>
        <v>2.1674483791052048</v>
      </c>
      <c r="G653" s="24">
        <f>E653/$E$753</f>
        <v>0.59827326119048152</v>
      </c>
    </row>
    <row r="654" spans="1:7" hidden="1" x14ac:dyDescent="0.2">
      <c r="A654" s="5">
        <v>41730</v>
      </c>
      <c r="B654" s="26">
        <f>INPC!B422</f>
        <v>0.78</v>
      </c>
      <c r="C654" s="17">
        <f>C653*(1+B654/100)</f>
        <v>275565652819838.69</v>
      </c>
      <c r="D654" s="17">
        <f>IF(A654&lt;$D$1,C654,C654*1.2225)</f>
        <v>336879010572252.75</v>
      </c>
      <c r="E654" s="17">
        <f>SQRT(D654*D653)</f>
        <v>335572818705921</v>
      </c>
      <c r="F654" s="24">
        <f>E654/$E$507</f>
        <v>2.184787923133118</v>
      </c>
      <c r="G654" s="24">
        <f>E654/$E$753</f>
        <v>0.60305943540950402</v>
      </c>
    </row>
    <row r="655" spans="1:7" hidden="1" x14ac:dyDescent="0.2">
      <c r="A655" s="5">
        <v>41760</v>
      </c>
      <c r="B655" s="26">
        <f>INPC!B423</f>
        <v>0.6</v>
      </c>
      <c r="C655" s="17">
        <f>C654*(1+B655/100)</f>
        <v>277219046736757.72</v>
      </c>
      <c r="D655" s="17">
        <f>IF(A655&lt;$D$1,C655,C655*1.2225)</f>
        <v>338900284635686.31</v>
      </c>
      <c r="E655" s="17">
        <f>SQRT(D655*D654)</f>
        <v>337888136179305.44</v>
      </c>
      <c r="F655" s="24">
        <f>E655/$E$507</f>
        <v>2.1998620810270038</v>
      </c>
      <c r="G655" s="24">
        <f>E655/$E$753</f>
        <v>0.60722030294841101</v>
      </c>
    </row>
    <row r="656" spans="1:7" hidden="1" x14ac:dyDescent="0.2">
      <c r="A656" s="5">
        <v>41791</v>
      </c>
      <c r="B656" s="26">
        <f>INPC!B424</f>
        <v>0.26</v>
      </c>
      <c r="C656" s="17">
        <f>C655*(1+B656/100)</f>
        <v>277939816258273.28</v>
      </c>
      <c r="D656" s="17">
        <f>IF(A656&lt;$D$1,C656,C656*1.2225)</f>
        <v>339781425375739.06</v>
      </c>
      <c r="E656" s="17">
        <f>SQRT(D656*D655)</f>
        <v>339340569006650.25</v>
      </c>
      <c r="F656" s="24">
        <f>E656/$E$507</f>
        <v>2.2093183227827637</v>
      </c>
      <c r="G656" s="24">
        <f>E656/$E$753</f>
        <v>0.60983047657393452</v>
      </c>
    </row>
    <row r="657" spans="1:7" hidden="1" x14ac:dyDescent="0.2">
      <c r="A657" s="4">
        <v>41821</v>
      </c>
      <c r="B657" s="26">
        <f>INPC!B425</f>
        <v>0.13</v>
      </c>
      <c r="C657" s="17">
        <f>C656*(1+B657/100)</f>
        <v>278301138019409.06</v>
      </c>
      <c r="D657" s="17">
        <f>IF(A657&lt;$D$1,C657,C657*1.2225)</f>
        <v>340223141228727.56</v>
      </c>
      <c r="E657" s="17">
        <f>SQRT(D657*D656)</f>
        <v>340002211570025.56</v>
      </c>
      <c r="F657" s="24">
        <f>E657/$E$507</f>
        <v>2.2136260277019755</v>
      </c>
      <c r="G657" s="24">
        <f>E657/$E$753</f>
        <v>0.61101951742727512</v>
      </c>
    </row>
    <row r="658" spans="1:7" hidden="1" x14ac:dyDescent="0.2">
      <c r="A658" s="5">
        <v>41852</v>
      </c>
      <c r="B658" s="26">
        <f>INPC!B426</f>
        <v>0.18</v>
      </c>
      <c r="C658" s="17">
        <f>C657*(1+B658/100)</f>
        <v>278802080067844</v>
      </c>
      <c r="D658" s="17">
        <f>IF(A658&lt;$D$1,C658,C658*1.2225)</f>
        <v>340835542882939.25</v>
      </c>
      <c r="E658" s="17">
        <f>SQRT(D658*D657)</f>
        <v>340529204389333.19</v>
      </c>
      <c r="F658" s="24">
        <f>E658/$E$507</f>
        <v>2.2170570789761554</v>
      </c>
      <c r="G658" s="24">
        <f>E658/$E$753</f>
        <v>0.61196657861447767</v>
      </c>
    </row>
    <row r="659" spans="1:7" hidden="1" x14ac:dyDescent="0.2">
      <c r="A659" s="5">
        <v>41883</v>
      </c>
      <c r="B659" s="26">
        <f>INPC!B427</f>
        <v>0.49</v>
      </c>
      <c r="C659" s="17">
        <f>C658*(1+B659/100)</f>
        <v>280168210260176.41</v>
      </c>
      <c r="D659" s="17">
        <f>IF(A659&lt;$D$1,C659,C659*1.2225)</f>
        <v>342505637043065.62</v>
      </c>
      <c r="E659" s="17">
        <f>SQRT(D659*D658)</f>
        <v>341669569528865.44</v>
      </c>
      <c r="F659" s="24">
        <f>E659/$E$507</f>
        <v>2.224481565841391</v>
      </c>
      <c r="G659" s="24">
        <f>E659/$E$753</f>
        <v>0.61401593398199228</v>
      </c>
    </row>
    <row r="660" spans="1:7" hidden="1" x14ac:dyDescent="0.2">
      <c r="A660" s="5">
        <v>41913</v>
      </c>
      <c r="B660" s="26">
        <f>INPC!B428</f>
        <v>0.38</v>
      </c>
      <c r="C660" s="17">
        <f>C659*(1+B660/100)</f>
        <v>281232849459165.09</v>
      </c>
      <c r="D660" s="17">
        <f>IF(A660&lt;$D$1,C660,C660*1.2225)</f>
        <v>343807158463829.31</v>
      </c>
      <c r="E660" s="17">
        <f>SQRT(D660*D659)</f>
        <v>343155780702613.38</v>
      </c>
      <c r="F660" s="24">
        <f>E660/$E$507</f>
        <v>2.2341577256571701</v>
      </c>
      <c r="G660" s="24">
        <f>E660/$E$753</f>
        <v>0.6166868108271315</v>
      </c>
    </row>
    <row r="661" spans="1:7" hidden="1" x14ac:dyDescent="0.2">
      <c r="A661" s="4">
        <v>41944</v>
      </c>
      <c r="B661" s="26">
        <f>INPC!B429</f>
        <v>0.53</v>
      </c>
      <c r="C661" s="17">
        <f>C660*(1+B661/100)</f>
        <v>282723383561298.69</v>
      </c>
      <c r="D661" s="17">
        <f>IF(A661&lt;$D$1,C661,C661*1.2225)</f>
        <v>345629336403687.62</v>
      </c>
      <c r="E661" s="17">
        <f>SQRT(D661*D660)</f>
        <v>344717043429376.75</v>
      </c>
      <c r="F661" s="24">
        <f>E661/$E$507</f>
        <v>2.2443225177980368</v>
      </c>
      <c r="G661" s="24">
        <f>E661/$E$753</f>
        <v>0.6194925631587973</v>
      </c>
    </row>
    <row r="662" spans="1:7" hidden="1" x14ac:dyDescent="0.2">
      <c r="A662" s="5">
        <v>41974</v>
      </c>
      <c r="B662" s="26">
        <f>INPC!B430</f>
        <v>0.62</v>
      </c>
      <c r="C662" s="17">
        <f>C661*(1+B662/100)</f>
        <v>284476268539378.75</v>
      </c>
      <c r="D662" s="17">
        <f>IF(A662&lt;$D$1,C662,C662*1.2225)</f>
        <v>347772238289390.5</v>
      </c>
      <c r="E662" s="17">
        <f>SQRT(D662*D661)</f>
        <v>346699131726035.88</v>
      </c>
      <c r="F662" s="24">
        <f>E662/$E$507</f>
        <v>2.2572271463368558</v>
      </c>
      <c r="G662" s="24">
        <f>E662/$E$753</f>
        <v>0.62305458303193417</v>
      </c>
    </row>
    <row r="663" spans="1:7" hidden="1" x14ac:dyDescent="0.2">
      <c r="A663" s="5">
        <v>42005</v>
      </c>
      <c r="B663" s="26">
        <f>INPC!B431</f>
        <v>1.48</v>
      </c>
      <c r="C663" s="17">
        <f>C662*(1+B663/100)</f>
        <v>288686517313761.56</v>
      </c>
      <c r="D663" s="17">
        <f>IF(A663&lt;$D$1,C663,C663*1.2225)</f>
        <v>352919267416073.5</v>
      </c>
      <c r="E663" s="17">
        <f>SQRT(D663*D662)</f>
        <v>350336300666573.56</v>
      </c>
      <c r="F663" s="24">
        <f>E663/$E$507</f>
        <v>2.2809073800528217</v>
      </c>
      <c r="G663" s="24">
        <f>E663/$E$753</f>
        <v>0.62959095584135372</v>
      </c>
    </row>
    <row r="664" spans="1:7" hidden="1" x14ac:dyDescent="0.2">
      <c r="A664" s="4">
        <v>42036</v>
      </c>
      <c r="B664" s="26">
        <f>INPC!B432</f>
        <v>1.1599999999999999</v>
      </c>
      <c r="C664" s="17">
        <f>C663*(1+B664/100)</f>
        <v>292035280914601.19</v>
      </c>
      <c r="D664" s="17">
        <f>IF(A664&lt;$D$1,C664,C664*1.2225)</f>
        <v>357013130918099.94</v>
      </c>
      <c r="E664" s="17">
        <f>SQRT(D664*D663)</f>
        <v>354960297246797.12</v>
      </c>
      <c r="F664" s="24">
        <f>E664/$E$507</f>
        <v>2.3110124759424102</v>
      </c>
      <c r="G664" s="24">
        <f>E664/$E$753</f>
        <v>0.63790076108052252</v>
      </c>
    </row>
    <row r="665" spans="1:7" hidden="1" x14ac:dyDescent="0.2">
      <c r="A665" s="5">
        <v>42064</v>
      </c>
      <c r="B665" s="26">
        <f>INPC!B433</f>
        <v>1.51</v>
      </c>
      <c r="C665" s="17">
        <f>C664*(1+B665/100)</f>
        <v>296445013656411.62</v>
      </c>
      <c r="D665" s="17">
        <f>IF(A665&lt;$D$1,C665,C665*1.2225)</f>
        <v>362404029194963.19</v>
      </c>
      <c r="E665" s="17">
        <f>SQRT(D665*D664)</f>
        <v>359698480842258.06</v>
      </c>
      <c r="F665" s="24">
        <f>E665/$E$507</f>
        <v>2.3418610003755598</v>
      </c>
      <c r="G665" s="24">
        <f>E665/$E$753</f>
        <v>0.64641577232298342</v>
      </c>
    </row>
    <row r="666" spans="1:7" hidden="1" x14ac:dyDescent="0.2">
      <c r="A666" s="5">
        <v>42095</v>
      </c>
      <c r="B666" s="26">
        <f>INPC!B434</f>
        <v>0.71</v>
      </c>
      <c r="C666" s="17">
        <f>C665*(1+B666/100)</f>
        <v>298549773253372.19</v>
      </c>
      <c r="D666" s="17">
        <f>IF(A666&lt;$D$1,C666,C666*1.2225)</f>
        <v>364977097802247.5</v>
      </c>
      <c r="E666" s="17">
        <f>SQRT(D666*D665)</f>
        <v>363688287971194.69</v>
      </c>
      <c r="F666" s="24">
        <f>E666/$E$507</f>
        <v>2.3678371281934991</v>
      </c>
      <c r="G666" s="24">
        <f>E666/$E$753</f>
        <v>0.65358587282113467</v>
      </c>
    </row>
    <row r="667" spans="1:7" hidden="1" x14ac:dyDescent="0.2">
      <c r="A667" s="5">
        <v>42125</v>
      </c>
      <c r="B667" s="26">
        <f>INPC!B435</f>
        <v>0.99</v>
      </c>
      <c r="C667" s="17">
        <f>C666*(1+B667/100)</f>
        <v>301505416008580.56</v>
      </c>
      <c r="D667" s="17">
        <f>IF(A667&lt;$D$1,C667,C667*1.2225)</f>
        <v>368590371070489.69</v>
      </c>
      <c r="E667" s="17">
        <f>SQRT(D667*D666)</f>
        <v>366779285008246.94</v>
      </c>
      <c r="F667" s="24">
        <f>E667/$E$507</f>
        <v>2.3879614428594915</v>
      </c>
      <c r="G667" s="24">
        <f>E667/$E$753</f>
        <v>0.65914071762413629</v>
      </c>
    </row>
    <row r="668" spans="1:7" hidden="1" x14ac:dyDescent="0.2">
      <c r="A668" s="4">
        <v>42156</v>
      </c>
      <c r="B668" s="26">
        <f>INPC!B436</f>
        <v>0.77</v>
      </c>
      <c r="C668" s="17">
        <f>C667*(1+B668/100)</f>
        <v>303827007711846.62</v>
      </c>
      <c r="D668" s="17">
        <f>IF(A668&lt;$D$1,C668,C668*1.2225)</f>
        <v>371428516927732.5</v>
      </c>
      <c r="E668" s="17">
        <f>SQRT(D668*D667)</f>
        <v>370006722750485.44</v>
      </c>
      <c r="F668" s="24">
        <f>E668/$E$507</f>
        <v>2.4089740714421604</v>
      </c>
      <c r="G668" s="24">
        <f>E668/$E$753</f>
        <v>0.66494076063762997</v>
      </c>
    </row>
    <row r="669" spans="1:7" hidden="1" x14ac:dyDescent="0.2">
      <c r="A669" s="5">
        <v>42186</v>
      </c>
      <c r="B669" s="26">
        <f>INPC!B437</f>
        <v>0.57999999999999996</v>
      </c>
      <c r="C669" s="17">
        <f>C668*(1+B669/100)</f>
        <v>305589204356575.31</v>
      </c>
      <c r="D669" s="17">
        <f>IF(A669&lt;$D$1,C669,C669*1.2225)</f>
        <v>373582802325913.31</v>
      </c>
      <c r="E669" s="17">
        <f>SQRT(D669*D668)</f>
        <v>372504102282941.62</v>
      </c>
      <c r="F669" s="24">
        <f>E669/$E$507</f>
        <v>2.4252335666629925</v>
      </c>
      <c r="G669" s="24">
        <f>E669/$E$753</f>
        <v>0.66942881272913779</v>
      </c>
    </row>
    <row r="670" spans="1:7" hidden="1" x14ac:dyDescent="0.2">
      <c r="A670" s="5">
        <v>42217</v>
      </c>
      <c r="B670" s="26">
        <f>INPC!B438</f>
        <v>0.25</v>
      </c>
      <c r="C670" s="17">
        <f>C669*(1+B670/100)</f>
        <v>306353177367466.75</v>
      </c>
      <c r="D670" s="17">
        <f>IF(A670&lt;$D$1,C670,C670*1.2225)</f>
        <v>374516759331728.06</v>
      </c>
      <c r="E670" s="17">
        <f>SQRT(D670*D669)</f>
        <v>374049489331514.25</v>
      </c>
      <c r="F670" s="24">
        <f>E670/$E$507</f>
        <v>2.4352949982572083</v>
      </c>
      <c r="G670" s="24">
        <f>E670/$E$753</f>
        <v>0.67220603480747931</v>
      </c>
    </row>
    <row r="671" spans="1:7" hidden="1" x14ac:dyDescent="0.2">
      <c r="A671" s="5">
        <v>42248</v>
      </c>
      <c r="B671" s="26">
        <f>INPC!B439</f>
        <v>0.51</v>
      </c>
      <c r="C671" s="17">
        <f>C670*(1+B671/100)</f>
        <v>307915578572040.88</v>
      </c>
      <c r="D671" s="17">
        <f>IF(A671&lt;$D$1,C671,C671*1.2225)</f>
        <v>376426794804319.94</v>
      </c>
      <c r="E671" s="17">
        <f>SQRT(D671*D670)</f>
        <v>375470562515549.62</v>
      </c>
      <c r="F671" s="24">
        <f>E671/$E$507</f>
        <v>2.4445470692155826</v>
      </c>
      <c r="G671" s="24">
        <f>E671/$E$753</f>
        <v>0.67475985187569354</v>
      </c>
    </row>
    <row r="672" spans="1:7" hidden="1" x14ac:dyDescent="0.2">
      <c r="A672" s="4">
        <v>42278</v>
      </c>
      <c r="B672" s="26">
        <f>INPC!B440</f>
        <v>0.77</v>
      </c>
      <c r="C672" s="17">
        <f>C671*(1+B672/100)</f>
        <v>310286528527045.62</v>
      </c>
      <c r="D672" s="17">
        <f>IF(A672&lt;$D$1,C672,C672*1.2225)</f>
        <v>379325281124313.25</v>
      </c>
      <c r="E672" s="17">
        <f>SQRT(D672*D671)</f>
        <v>377873258860524.31</v>
      </c>
      <c r="F672" s="24">
        <f>E672/$E$507</f>
        <v>2.4601901179514725</v>
      </c>
      <c r="G672" s="24">
        <f>E672/$E$753</f>
        <v>0.67907774838128254</v>
      </c>
    </row>
    <row r="673" spans="1:7" hidden="1" x14ac:dyDescent="0.2">
      <c r="A673" s="5">
        <v>42309</v>
      </c>
      <c r="B673" s="26">
        <f>INPC!B441</f>
        <v>1.1100000000000001</v>
      </c>
      <c r="C673" s="17">
        <f>C672*(1+B673/100)</f>
        <v>313730708993695.88</v>
      </c>
      <c r="D673" s="17">
        <f>IF(A673&lt;$D$1,C673,C673*1.2225)</f>
        <v>383535791744793.19</v>
      </c>
      <c r="E673" s="17">
        <f>SQRT(D673*D672)</f>
        <v>381424726551425.5</v>
      </c>
      <c r="F673" s="24">
        <f>E673/$E$507</f>
        <v>2.4833123831885691</v>
      </c>
      <c r="G673" s="24">
        <f>E673/$E$753</f>
        <v>0.68546010708604665</v>
      </c>
    </row>
    <row r="674" spans="1:7" hidden="1" x14ac:dyDescent="0.2">
      <c r="A674" s="5">
        <v>42339</v>
      </c>
      <c r="B674" s="26">
        <f>INPC!B442</f>
        <v>0.9</v>
      </c>
      <c r="C674" s="17">
        <f>C673*(1+B674/100)</f>
        <v>316554285374639.12</v>
      </c>
      <c r="D674" s="17">
        <f>IF(A674&lt;$D$1,C674,C674*1.2225)</f>
        <v>386987613870496.31</v>
      </c>
      <c r="E674" s="17">
        <f>SQRT(D674*D673)</f>
        <v>385257836884921.94</v>
      </c>
      <c r="F674" s="24">
        <f>E674/$E$507</f>
        <v>2.5082683173341138</v>
      </c>
      <c r="G674" s="24">
        <f>E674/$E$753</f>
        <v>0.6923486070619832</v>
      </c>
    </row>
    <row r="675" spans="1:7" hidden="1" x14ac:dyDescent="0.2">
      <c r="A675" s="5">
        <v>42370</v>
      </c>
      <c r="B675" s="26">
        <f>INPC!B443</f>
        <v>1.51</v>
      </c>
      <c r="C675" s="17">
        <f>C674*(1+B675/100)</f>
        <v>321334255083796.12</v>
      </c>
      <c r="D675" s="17">
        <f>IF(A675&lt;$D$1,C675,C675*1.2225)</f>
        <v>392831126839940.75</v>
      </c>
      <c r="E675" s="17">
        <f>SQRT(D675*D674)</f>
        <v>389898423220519</v>
      </c>
      <c r="F675" s="24">
        <f>E675/$E$507</f>
        <v>2.5384814228572821</v>
      </c>
      <c r="G675" s="24">
        <f>E675/$E$753</f>
        <v>0.70068822582582213</v>
      </c>
    </row>
    <row r="676" spans="1:7" hidden="1" x14ac:dyDescent="0.2">
      <c r="A676" s="4">
        <v>42401</v>
      </c>
      <c r="B676" s="26">
        <f>INPC!B444</f>
        <v>0.95</v>
      </c>
      <c r="C676" s="17">
        <f>C675*(1+B676/100)</f>
        <v>324386930507092.19</v>
      </c>
      <c r="D676" s="17">
        <f>IF(A676&lt;$D$1,C676,C676*1.2225)</f>
        <v>396563022544920.19</v>
      </c>
      <c r="E676" s="17">
        <f>SQRT(D676*D675)</f>
        <v>394692663992344.56</v>
      </c>
      <c r="F676" s="24">
        <f>E676/$E$507</f>
        <v>2.5696949144006962</v>
      </c>
      <c r="G676" s="24">
        <f>E676/$E$753</f>
        <v>0.7093039776743294</v>
      </c>
    </row>
    <row r="677" spans="1:7" hidden="1" x14ac:dyDescent="0.2">
      <c r="A677" s="5">
        <v>42430</v>
      </c>
      <c r="B677" s="26">
        <f>INPC!B445</f>
        <v>0.44</v>
      </c>
      <c r="C677" s="17">
        <f>C676*(1+B677/100)</f>
        <v>325814233001323.38</v>
      </c>
      <c r="D677" s="17">
        <f>IF(A677&lt;$D$1,C677,C677*1.2225)</f>
        <v>398307899844117.81</v>
      </c>
      <c r="E677" s="17">
        <f>SQRT(D677*D676)</f>
        <v>397434503617517.69</v>
      </c>
      <c r="F677" s="24">
        <f>E677/$E$507</f>
        <v>2.5875459969864276</v>
      </c>
      <c r="G677" s="24">
        <f>E677/$E$753</f>
        <v>0.71423135010787964</v>
      </c>
    </row>
    <row r="678" spans="1:7" hidden="1" x14ac:dyDescent="0.2">
      <c r="A678" s="5">
        <v>42461</v>
      </c>
      <c r="B678" s="26">
        <f>INPC!B446</f>
        <v>0.64</v>
      </c>
      <c r="C678" s="17">
        <f>C677*(1+B678/100)</f>
        <v>327899444092531.81</v>
      </c>
      <c r="D678" s="17">
        <f>IF(A678&lt;$D$1,C678,C678*1.2225)</f>
        <v>400857070403120.12</v>
      </c>
      <c r="E678" s="17">
        <f>SQRT(D678*D677)</f>
        <v>399580452287061.31</v>
      </c>
      <c r="F678" s="24">
        <f>E678/$E$507</f>
        <v>2.6015174585456884</v>
      </c>
      <c r="G678" s="24">
        <f>E678/$E$753</f>
        <v>0.71808784420076643</v>
      </c>
    </row>
    <row r="679" spans="1:7" hidden="1" x14ac:dyDescent="0.2">
      <c r="A679" s="4">
        <v>42491</v>
      </c>
      <c r="B679" s="26">
        <f>INPC!B447</f>
        <v>0.98</v>
      </c>
      <c r="C679" s="17">
        <f>C678*(1+B679/100)</f>
        <v>331112858644638.62</v>
      </c>
      <c r="D679" s="17">
        <f>IF(A679&lt;$D$1,C679,C679*1.2225)</f>
        <v>404785469693070.69</v>
      </c>
      <c r="E679" s="17">
        <f>SQRT(D679*D678)</f>
        <v>402816481195736.69</v>
      </c>
      <c r="F679" s="24">
        <f>E679/$E$507</f>
        <v>2.6225860209693312</v>
      </c>
      <c r="G679" s="24">
        <f>E679/$E$753</f>
        <v>0.72390332643845279</v>
      </c>
    </row>
    <row r="680" spans="1:7" hidden="1" x14ac:dyDescent="0.2">
      <c r="A680" s="5">
        <v>42522</v>
      </c>
      <c r="B680" s="26">
        <f>INPC!B448</f>
        <v>0.47</v>
      </c>
      <c r="C680" s="17">
        <f>C679*(1+B680/100)</f>
        <v>332669089080268.38</v>
      </c>
      <c r="D680" s="17">
        <f>IF(A680&lt;$D$1,C680,C680*1.2225)</f>
        <v>406687961400628.06</v>
      </c>
      <c r="E680" s="17">
        <f>SQRT(D680*D679)</f>
        <v>405735600451908.38</v>
      </c>
      <c r="F680" s="24">
        <f>E680/$E$507</f>
        <v>2.6415913042984864</v>
      </c>
      <c r="G680" s="24">
        <f>E680/$E$753</f>
        <v>0.72914928890140962</v>
      </c>
    </row>
    <row r="681" spans="1:7" hidden="1" x14ac:dyDescent="0.2">
      <c r="A681" s="5">
        <v>42552</v>
      </c>
      <c r="B681" s="26">
        <f>INPC!B449</f>
        <v>0.64</v>
      </c>
      <c r="C681" s="17">
        <f>C680*(1+B681/100)</f>
        <v>334798171250382.06</v>
      </c>
      <c r="D681" s="17">
        <f>IF(A681&lt;$D$1,C681,C681*1.2225)</f>
        <v>409290764353592.06</v>
      </c>
      <c r="E681" s="17">
        <f>SQRT(D681*D680)</f>
        <v>407987287271389.38</v>
      </c>
      <c r="F681" s="24">
        <f>E681/$E$507</f>
        <v>2.6562511870293082</v>
      </c>
      <c r="G681" s="24">
        <f>E681/$E$753</f>
        <v>0.73319580550341501</v>
      </c>
    </row>
    <row r="682" spans="1:7" hidden="1" x14ac:dyDescent="0.2">
      <c r="A682" s="5">
        <v>42583</v>
      </c>
      <c r="B682" s="26">
        <f>INPC!B450</f>
        <v>0.31</v>
      </c>
      <c r="C682" s="17">
        <f>C681*(1+B682/100)</f>
        <v>335836045581258.31</v>
      </c>
      <c r="D682" s="17">
        <f>IF(A682&lt;$D$1,C682,C682*1.2225)</f>
        <v>410559565723088.25</v>
      </c>
      <c r="E682" s="17">
        <f>SQRT(D682*D681)</f>
        <v>409924674138409.94</v>
      </c>
      <c r="F682" s="24">
        <f>E682/$E$507</f>
        <v>2.6688647814373008</v>
      </c>
      <c r="G682" s="24">
        <f>E682/$E$753</f>
        <v>0.7366774922344822</v>
      </c>
    </row>
    <row r="683" spans="1:7" hidden="1" x14ac:dyDescent="0.2">
      <c r="A683" s="4">
        <v>42614</v>
      </c>
      <c r="B683" s="26">
        <f>INPC!B451</f>
        <v>0.08</v>
      </c>
      <c r="C683" s="17">
        <f>C682*(1+B683/100)</f>
        <v>336104714417723.31</v>
      </c>
      <c r="D683" s="17">
        <f>IF(A683&lt;$D$1,C683,C683*1.2225)</f>
        <v>410888013375666.75</v>
      </c>
      <c r="E683" s="17">
        <f>SQRT(D683*D682)</f>
        <v>410723756717743.62</v>
      </c>
      <c r="F683" s="24">
        <f>E683/$E$507</f>
        <v>2.674067306408324</v>
      </c>
      <c r="G683" s="24">
        <f>E683/$E$753</f>
        <v>0.73811352716423861</v>
      </c>
    </row>
    <row r="684" spans="1:7" hidden="1" x14ac:dyDescent="0.2">
      <c r="A684" s="5">
        <v>42644</v>
      </c>
      <c r="B684" s="26">
        <f>INPC!B452</f>
        <v>0.17</v>
      </c>
      <c r="C684" s="17">
        <f>C683*(1+B684/100)</f>
        <v>336676092432233.44</v>
      </c>
      <c r="D684" s="17">
        <f>IF(A684&lt;$D$1,C684,C684*1.2225)</f>
        <v>411586522998405.38</v>
      </c>
      <c r="E684" s="17">
        <f>SQRT(D684*D683)</f>
        <v>411237119879775.62</v>
      </c>
      <c r="F684" s="24">
        <f>E684/$E$507</f>
        <v>2.6774096201300202</v>
      </c>
      <c r="G684" s="24">
        <f>E684/$E$753</f>
        <v>0.73903609443249629</v>
      </c>
    </row>
    <row r="685" spans="1:7" hidden="1" x14ac:dyDescent="0.2">
      <c r="A685" s="5">
        <v>42675</v>
      </c>
      <c r="B685" s="26">
        <f>INPC!B453</f>
        <v>7.0000000000000007E-2</v>
      </c>
      <c r="C685" s="17">
        <f>C684*(1+B685/100)</f>
        <v>336911765696936</v>
      </c>
      <c r="D685" s="17">
        <f>IF(A685&lt;$D$1,C685,C685*1.2225)</f>
        <v>411874633564504.25</v>
      </c>
      <c r="E685" s="17">
        <f>SQRT(D685*D684)</f>
        <v>411730553080599.81</v>
      </c>
      <c r="F685" s="24">
        <f>E685/$E$507</f>
        <v>2.6806221773990826</v>
      </c>
      <c r="G685" s="24">
        <f>E685/$E$753</f>
        <v>0.73992284547702036</v>
      </c>
    </row>
    <row r="686" spans="1:7" hidden="1" x14ac:dyDescent="0.2">
      <c r="A686" s="5">
        <v>42705</v>
      </c>
      <c r="B686" s="26">
        <f>INPC!B454</f>
        <v>0.14000000000000001</v>
      </c>
      <c r="C686" s="17">
        <f>C685*(1+B686/100)</f>
        <v>337383442168911.75</v>
      </c>
      <c r="D686" s="17">
        <f>IF(A686&lt;$D$1,C686,C686*1.2225)</f>
        <v>412451258051494.56</v>
      </c>
      <c r="E686" s="17">
        <f>SQRT(D686*D685)</f>
        <v>412162844969288.94</v>
      </c>
      <c r="F686" s="24">
        <f>E686/$E$507</f>
        <v>2.6834366666694551</v>
      </c>
      <c r="G686" s="24">
        <f>E686/$E$753</f>
        <v>0.74069971919203192</v>
      </c>
    </row>
    <row r="687" spans="1:7" hidden="1" x14ac:dyDescent="0.2">
      <c r="A687" s="4">
        <v>42736</v>
      </c>
      <c r="B687" s="26">
        <f>INPC!B455</f>
        <v>0.42</v>
      </c>
      <c r="C687" s="17">
        <f>C686*(1+B687/100)</f>
        <v>338800452626021.19</v>
      </c>
      <c r="D687" s="17">
        <f>IF(A687&lt;$D$1,C687,C687*1.2225)</f>
        <v>414183553335310.88</v>
      </c>
      <c r="E687" s="17">
        <f>SQRT(D687*D686)</f>
        <v>413316498143235.56</v>
      </c>
      <c r="F687" s="24">
        <f>E687/$E$507</f>
        <v>2.6909476669097088</v>
      </c>
      <c r="G687" s="24">
        <f>E687/$E$753</f>
        <v>0.74277295454649706</v>
      </c>
    </row>
    <row r="688" spans="1:7" hidden="1" x14ac:dyDescent="0.2">
      <c r="A688" s="5">
        <v>42767</v>
      </c>
      <c r="B688" s="26">
        <f>INPC!B456</f>
        <v>0.24</v>
      </c>
      <c r="C688" s="17">
        <f>C687*(1+B688/100)</f>
        <v>339613573712323.62</v>
      </c>
      <c r="D688" s="17">
        <f>IF(A688&lt;$D$1,C688,C688*1.2225)</f>
        <v>415177593863315.62</v>
      </c>
      <c r="E688" s="17">
        <f>SQRT(D688*D687)</f>
        <v>414680275744473.56</v>
      </c>
      <c r="F688" s="24">
        <f>E688/$E$507</f>
        <v>2.69982670796111</v>
      </c>
      <c r="G688" s="24">
        <f>E688/$E$753</f>
        <v>0.7452238054628445</v>
      </c>
    </row>
    <row r="689" spans="1:7" hidden="1" x14ac:dyDescent="0.2">
      <c r="A689" s="5">
        <v>42795</v>
      </c>
      <c r="B689" s="26">
        <f>INPC!B457</f>
        <v>0.32</v>
      </c>
      <c r="C689" s="17">
        <f>C688*(1+B689/100)</f>
        <v>340700337148203.06</v>
      </c>
      <c r="D689" s="17">
        <f>IF(A689&lt;$D$1,C689,C689*1.2225)</f>
        <v>416506162163678.19</v>
      </c>
      <c r="E689" s="17">
        <f>SQRT(D689*D688)</f>
        <v>415841347434763.69</v>
      </c>
      <c r="F689" s="24">
        <f>E689/$E$507</f>
        <v>2.707386007360328</v>
      </c>
      <c r="G689" s="24">
        <f>E689/$E$753</f>
        <v>0.74731037266669764</v>
      </c>
    </row>
    <row r="690" spans="1:7" hidden="1" x14ac:dyDescent="0.2">
      <c r="A690" s="5">
        <v>42826</v>
      </c>
      <c r="B690" s="26">
        <f>INPC!B458</f>
        <v>0.08</v>
      </c>
      <c r="C690" s="17">
        <f>C689*(1+B690/100)</f>
        <v>340972897417921.62</v>
      </c>
      <c r="D690" s="17">
        <f>IF(A690&lt;$D$1,C690,C690*1.2225)</f>
        <v>416839367093409.19</v>
      </c>
      <c r="E690" s="17">
        <f>SQRT(D690*D689)</f>
        <v>416672731321372.25</v>
      </c>
      <c r="F690" s="24">
        <f>E690/$E$507</f>
        <v>2.7127988339472799</v>
      </c>
      <c r="G690" s="24">
        <f>E690/$E$753</f>
        <v>0.74880445642234916</v>
      </c>
    </row>
    <row r="691" spans="1:7" hidden="1" x14ac:dyDescent="0.2">
      <c r="A691" s="4">
        <v>42856</v>
      </c>
      <c r="B691" s="26">
        <f>INPC!B459</f>
        <v>0.36</v>
      </c>
      <c r="C691" s="17">
        <f>C690*(1+B691/100)</f>
        <v>342200399848626.19</v>
      </c>
      <c r="D691" s="17">
        <f>IF(A691&lt;$D$1,C691,C691*1.2225)</f>
        <v>418339988814945.5</v>
      </c>
      <c r="E691" s="17">
        <f>SQRT(D691*D690)</f>
        <v>417589003887178.25</v>
      </c>
      <c r="F691" s="24">
        <f>E691/$E$507</f>
        <v>2.7187643386737683</v>
      </c>
      <c r="G691" s="24">
        <f>E691/$E$753</f>
        <v>0.75045109400863241</v>
      </c>
    </row>
    <row r="692" spans="1:7" hidden="1" x14ac:dyDescent="0.2">
      <c r="A692" s="5">
        <v>42887</v>
      </c>
      <c r="B692" s="26">
        <f>INPC!B460</f>
        <v>-0.3</v>
      </c>
      <c r="C692" s="17">
        <f>C691*(1+B692/100)</f>
        <v>341173798649080.31</v>
      </c>
      <c r="D692" s="17">
        <f>IF(A692&lt;$D$1,C692,C692*1.2225)</f>
        <v>417084968848500.62</v>
      </c>
      <c r="E692" s="17">
        <f>SQRT(D692*D691)</f>
        <v>417712007491960.44</v>
      </c>
      <c r="F692" s="24">
        <f>E692/$E$507</f>
        <v>2.7195651687030487</v>
      </c>
      <c r="G692" s="24">
        <f>E692/$E$753</f>
        <v>0.75067214434500751</v>
      </c>
    </row>
    <row r="693" spans="1:7" hidden="1" x14ac:dyDescent="0.2">
      <c r="A693" s="5">
        <v>42917</v>
      </c>
      <c r="B693" s="26">
        <f>INPC!B461</f>
        <v>0.17</v>
      </c>
      <c r="C693" s="17">
        <f>C692*(1+B693/100)</f>
        <v>341753794106783.75</v>
      </c>
      <c r="D693" s="17">
        <f>IF(A693&lt;$D$1,C693,C693*1.2225)</f>
        <v>417794013295543.12</v>
      </c>
      <c r="E693" s="17">
        <f>SQRT(D693*D692)</f>
        <v>417439340528012.12</v>
      </c>
      <c r="F693" s="24">
        <f>E693/$E$507</f>
        <v>2.7177899370493974</v>
      </c>
      <c r="G693" s="24">
        <f>E693/$E$753</f>
        <v>0.75018213330666539</v>
      </c>
    </row>
    <row r="694" spans="1:7" hidden="1" x14ac:dyDescent="0.2">
      <c r="A694" s="4">
        <v>42948</v>
      </c>
      <c r="B694" s="26">
        <f>INPC!B462</f>
        <v>-0.03</v>
      </c>
      <c r="C694" s="17">
        <f>C693*(1+B694/100)</f>
        <v>341651267968551.75</v>
      </c>
      <c r="D694" s="17">
        <f>IF(A694&lt;$D$1,C694,C694*1.2225)</f>
        <v>417668675091554.5</v>
      </c>
      <c r="E694" s="17">
        <f>SQRT(D694*D693)</f>
        <v>417731339492661</v>
      </c>
      <c r="F694" s="24">
        <f>E694/$E$507</f>
        <v>2.7196910320605858</v>
      </c>
      <c r="G694" s="24">
        <f>E694/$E$753</f>
        <v>0.75070688597119994</v>
      </c>
    </row>
    <row r="695" spans="1:7" hidden="1" x14ac:dyDescent="0.2">
      <c r="A695" s="5">
        <v>42979</v>
      </c>
      <c r="B695" s="26">
        <f>INPC!B463</f>
        <v>-0.02</v>
      </c>
      <c r="C695" s="17">
        <f>C694*(1+B695/100)</f>
        <v>341582937714958.06</v>
      </c>
      <c r="D695" s="17">
        <f>IF(A695&lt;$D$1,C695,C695*1.2225)</f>
        <v>417585141356536.19</v>
      </c>
      <c r="E695" s="17">
        <f>SQRT(D695*D694)</f>
        <v>417626906135493.06</v>
      </c>
      <c r="F695" s="24">
        <f>E695/$E$507</f>
        <v>2.7190111059021067</v>
      </c>
      <c r="G695" s="24">
        <f>E695/$E$753</f>
        <v>0.75051920831108887</v>
      </c>
    </row>
    <row r="696" spans="1:7" hidden="1" x14ac:dyDescent="0.2">
      <c r="A696" s="5">
        <v>43009</v>
      </c>
      <c r="B696" s="26">
        <f>INPC!B464</f>
        <v>0.37</v>
      </c>
      <c r="C696" s="17">
        <f>C695*(1+B696/100)</f>
        <v>342846794584503.44</v>
      </c>
      <c r="D696" s="17">
        <f>IF(A696&lt;$D$1,C696,C696*1.2225)</f>
        <v>419130206379555.44</v>
      </c>
      <c r="E696" s="17">
        <f>SQRT(D696*D695)</f>
        <v>418356960594419.69</v>
      </c>
      <c r="F696" s="24">
        <f>E696/$E$507</f>
        <v>2.7237642148435381</v>
      </c>
      <c r="G696" s="24">
        <f>E696/$E$753</f>
        <v>0.75183119249239494</v>
      </c>
    </row>
    <row r="697" spans="1:7" hidden="1" x14ac:dyDescent="0.2">
      <c r="A697" s="5">
        <v>43040</v>
      </c>
      <c r="B697" s="26">
        <f>INPC!B465</f>
        <v>0.18</v>
      </c>
      <c r="C697" s="17">
        <f>C696*(1+B697/100)</f>
        <v>343463918814755.56</v>
      </c>
      <c r="D697" s="17">
        <f>IF(A697&lt;$D$1,C697,C697*1.2225)</f>
        <v>419884640751038.62</v>
      </c>
      <c r="E697" s="17">
        <f>SQRT(D697*D696)</f>
        <v>419507253970164.75</v>
      </c>
      <c r="F697" s="24">
        <f>E697/$E$507</f>
        <v>2.7312533407062327</v>
      </c>
      <c r="G697" s="24">
        <f>E697/$E$753</f>
        <v>0.75389838993826452</v>
      </c>
    </row>
    <row r="698" spans="1:7" hidden="1" x14ac:dyDescent="0.2">
      <c r="A698" s="4">
        <v>43070</v>
      </c>
      <c r="B698" s="26">
        <f>INPC!B466</f>
        <v>0.26</v>
      </c>
      <c r="C698" s="17">
        <f>C697*(1+B698/100)</f>
        <v>344356925003673.88</v>
      </c>
      <c r="D698" s="17">
        <f>IF(A698&lt;$D$1,C698,C698*1.2225)</f>
        <v>420976340816991.31</v>
      </c>
      <c r="E698" s="17">
        <f>SQRT(D698*D697)</f>
        <v>420430136441988.69</v>
      </c>
      <c r="F698" s="24">
        <f>E698/$E$507</f>
        <v>2.737261880035156</v>
      </c>
      <c r="G698" s="24">
        <f>E698/$E$753</f>
        <v>0.75555690621664995</v>
      </c>
    </row>
    <row r="699" spans="1:7" hidden="1" x14ac:dyDescent="0.2">
      <c r="A699" s="5">
        <v>43101</v>
      </c>
      <c r="B699" s="26">
        <f>INPC!B467</f>
        <v>0.23</v>
      </c>
      <c r="C699" s="17">
        <f>C698*(1+B699/100)</f>
        <v>345148945931182.31</v>
      </c>
      <c r="D699" s="17">
        <f>IF(A699&lt;$D$1,C699,C699*1.2225)</f>
        <v>421944586400870.38</v>
      </c>
      <c r="E699" s="17">
        <f>SQRT(D699*D698)</f>
        <v>421460185557992.25</v>
      </c>
      <c r="F699" s="24">
        <f>E699/$E$507</f>
        <v>2.7439681409223069</v>
      </c>
      <c r="G699" s="24">
        <f>E699/$E$753</f>
        <v>0.75740801215763964</v>
      </c>
    </row>
    <row r="700" spans="1:7" hidden="1" x14ac:dyDescent="0.2">
      <c r="A700" s="5">
        <v>43132</v>
      </c>
      <c r="B700" s="26">
        <f>INPC!B468</f>
        <v>0.18</v>
      </c>
      <c r="C700" s="17">
        <f>C699*(1+B700/100)</f>
        <v>345770214033858.44</v>
      </c>
      <c r="D700" s="17">
        <f>IF(A700&lt;$D$1,C700,C700*1.2225)</f>
        <v>422704086656391.94</v>
      </c>
      <c r="E700" s="17">
        <f>SQRT(D700*D699)</f>
        <v>422324165794699.69</v>
      </c>
      <c r="F700" s="24">
        <f>E700/$E$507</f>
        <v>2.7495931900376176</v>
      </c>
      <c r="G700" s="24">
        <f>E700/$E$753</f>
        <v>0.75896067496198416</v>
      </c>
    </row>
    <row r="701" spans="1:7" hidden="1" x14ac:dyDescent="0.2">
      <c r="A701" s="5">
        <v>43160</v>
      </c>
      <c r="B701" s="26">
        <f>INPC!B469</f>
        <v>7.0000000000000007E-2</v>
      </c>
      <c r="C701" s="17">
        <f>C700*(1+B701/100)</f>
        <v>346012253183682.12</v>
      </c>
      <c r="D701" s="17">
        <f>IF(A701&lt;$D$1,C701,C701*1.2225)</f>
        <v>422999979517051.38</v>
      </c>
      <c r="E701" s="17">
        <f>SQRT(D701*D700)</f>
        <v>422852007205154.06</v>
      </c>
      <c r="F701" s="24">
        <f>E701/$E$507</f>
        <v>2.7530297661683587</v>
      </c>
      <c r="G701" s="24">
        <f>E701/$E$753</f>
        <v>0.75990926115618762</v>
      </c>
    </row>
    <row r="702" spans="1:7" hidden="1" x14ac:dyDescent="0.2">
      <c r="A702" s="4">
        <v>43191</v>
      </c>
      <c r="B702" s="26">
        <f>INPC!B470</f>
        <v>0.21</v>
      </c>
      <c r="C702" s="17">
        <f>C701*(1+B702/100)</f>
        <v>346738878915367.88</v>
      </c>
      <c r="D702" s="17">
        <f>IF(A702&lt;$D$1,C702,C702*1.2225)</f>
        <v>423888279474037.19</v>
      </c>
      <c r="E702" s="17">
        <f>SQRT(D702*D701)</f>
        <v>423443896561322.38</v>
      </c>
      <c r="F702" s="24">
        <f>E702/$E$507</f>
        <v>2.7568833342915888</v>
      </c>
      <c r="G702" s="24">
        <f>E702/$E$753</f>
        <v>0.76097294820429917</v>
      </c>
    </row>
    <row r="703" spans="1:7" hidden="1" x14ac:dyDescent="0.2">
      <c r="A703" s="5">
        <v>43221</v>
      </c>
      <c r="B703" s="26">
        <f>INPC!B471</f>
        <v>0.43</v>
      </c>
      <c r="C703" s="17">
        <f>C702*(1+B703/100)</f>
        <v>348229856094703.94</v>
      </c>
      <c r="D703" s="17">
        <f>IF(A703&lt;$D$1,C703,C703*1.2225)</f>
        <v>425710999075775.56</v>
      </c>
      <c r="E703" s="17">
        <f>SQRT(D703*D702)</f>
        <v>424798661663856.88</v>
      </c>
      <c r="F703" s="24">
        <f>E703/$E$507</f>
        <v>2.765703698366706</v>
      </c>
      <c r="G703" s="24">
        <f>E703/$E$753</f>
        <v>0.76340760271832564</v>
      </c>
    </row>
    <row r="704" spans="1:7" hidden="1" x14ac:dyDescent="0.2">
      <c r="A704" s="5">
        <v>43252</v>
      </c>
      <c r="B704" s="26">
        <f>INPC!B472</f>
        <v>1.43</v>
      </c>
      <c r="C704" s="17">
        <f>C703*(1+B704/100)</f>
        <v>353209543036858.19</v>
      </c>
      <c r="D704" s="17">
        <f>IF(A704&lt;$D$1,C704,C704*1.2225)</f>
        <v>431798666362559.12</v>
      </c>
      <c r="E704" s="17">
        <f>SQRT(D704*D703)</f>
        <v>428744028129596.81</v>
      </c>
      <c r="F704" s="24">
        <f>E704/$E$507</f>
        <v>2.7913904898056665</v>
      </c>
      <c r="G704" s="24">
        <f>E704/$E$753</f>
        <v>0.77049783869896327</v>
      </c>
    </row>
    <row r="705" spans="1:7" hidden="1" x14ac:dyDescent="0.2">
      <c r="A705" s="5">
        <v>43282</v>
      </c>
      <c r="B705" s="26">
        <f>INPC!B473</f>
        <v>0.25</v>
      </c>
      <c r="C705" s="17">
        <f>C704*(1+B705/100)</f>
        <v>354092566894450.31</v>
      </c>
      <c r="D705" s="17">
        <f>IF(A705&lt;$D$1,C705,C705*1.2225)</f>
        <v>432878163028465.5</v>
      </c>
      <c r="E705" s="17">
        <f>SQRT(D705*D704)</f>
        <v>432338077773824.88</v>
      </c>
      <c r="F705" s="24">
        <f>E705/$E$507</f>
        <v>2.8147899900635571</v>
      </c>
      <c r="G705" s="24">
        <f>E705/$E$753</f>
        <v>0.77695672162529861</v>
      </c>
    </row>
    <row r="706" spans="1:7" hidden="1" x14ac:dyDescent="0.2">
      <c r="A706" s="4">
        <v>43313</v>
      </c>
      <c r="B706" s="26">
        <f>INPC!B474</f>
        <v>0</v>
      </c>
      <c r="C706" s="17">
        <f>C705*(1+B706/100)</f>
        <v>354092566894450.31</v>
      </c>
      <c r="D706" s="17">
        <f>IF(A706&lt;$D$1,C706,C706*1.2225)</f>
        <v>432878163028465.5</v>
      </c>
      <c r="E706" s="17">
        <f>SQRT(D706*D705)</f>
        <v>432878163028465.5</v>
      </c>
      <c r="F706" s="24">
        <f>E706/$E$507</f>
        <v>2.8183062812409876</v>
      </c>
      <c r="G706" s="24">
        <f>E706/$E$753</f>
        <v>0.77792731128745474</v>
      </c>
    </row>
    <row r="707" spans="1:7" hidden="1" x14ac:dyDescent="0.2">
      <c r="A707" s="5">
        <v>43344</v>
      </c>
      <c r="B707" s="26">
        <f>INPC!B475</f>
        <v>0.3</v>
      </c>
      <c r="C707" s="17">
        <f>C706*(1+B707/100)</f>
        <v>355154844595133.62</v>
      </c>
      <c r="D707" s="17">
        <f>IF(A707&lt;$D$1,C707,C707*1.2225)</f>
        <v>434176797517550.81</v>
      </c>
      <c r="E707" s="17">
        <f>SQRT(D707*D706)</f>
        <v>433526994014189.88</v>
      </c>
      <c r="F707" s="24">
        <f>E707/$E$507</f>
        <v>2.8225305748152758</v>
      </c>
      <c r="G707" s="24">
        <f>E707/$E$753</f>
        <v>0.77909332839645684</v>
      </c>
    </row>
    <row r="708" spans="1:7" hidden="1" x14ac:dyDescent="0.2">
      <c r="A708" s="5">
        <v>43374</v>
      </c>
      <c r="B708" s="26">
        <f>INPC!B476</f>
        <v>0.4</v>
      </c>
      <c r="C708" s="17">
        <f>C707*(1+B708/100)</f>
        <v>356575463973514.19</v>
      </c>
      <c r="D708" s="17">
        <f>IF(A708&lt;$D$1,C708,C708*1.2225)</f>
        <v>435913504707621.06</v>
      </c>
      <c r="E708" s="17">
        <f>SQRT(D708*D707)</f>
        <v>435044284491368.44</v>
      </c>
      <c r="F708" s="24">
        <f>E708/$E$507</f>
        <v>2.8324090802413355</v>
      </c>
      <c r="G708" s="24">
        <f>E708/$E$753</f>
        <v>0.7818200579988368</v>
      </c>
    </row>
    <row r="709" spans="1:7" hidden="1" x14ac:dyDescent="0.2">
      <c r="A709" s="4">
        <v>43405</v>
      </c>
      <c r="B709" s="26">
        <f>INPC!B477</f>
        <v>-0.25</v>
      </c>
      <c r="C709" s="17">
        <f>C708*(1+B709/100)</f>
        <v>355684025313580.44</v>
      </c>
      <c r="D709" s="17">
        <f>IF(A709&lt;$D$1,C709,C709*1.2225)</f>
        <v>434823720945852.06</v>
      </c>
      <c r="E709" s="17">
        <f>SQRT(D709*D708)</f>
        <v>435368271842947.94</v>
      </c>
      <c r="F709" s="24">
        <f>E709/$E$507</f>
        <v>2.8345184395622378</v>
      </c>
      <c r="G709" s="24">
        <f>E709/$E$753</f>
        <v>0.78240229713869558</v>
      </c>
    </row>
    <row r="710" spans="1:7" hidden="1" x14ac:dyDescent="0.2">
      <c r="A710" s="5">
        <v>43435</v>
      </c>
      <c r="B710" s="26">
        <f>INPC!B478</f>
        <v>0.14000000000000001</v>
      </c>
      <c r="C710" s="17">
        <f>C709*(1+B710/100)</f>
        <v>356181982949019.5</v>
      </c>
      <c r="D710" s="17">
        <f>IF(A710&lt;$D$1,C710,C710*1.2225)</f>
        <v>435432474155176.31</v>
      </c>
      <c r="E710" s="17">
        <f>SQRT(D710*D709)</f>
        <v>435127991093209.62</v>
      </c>
      <c r="F710" s="24">
        <f>E710/$E$507</f>
        <v>2.8329540623215124</v>
      </c>
      <c r="G710" s="24">
        <f>E710/$E$753</f>
        <v>0.781970487512887</v>
      </c>
    </row>
    <row r="711" spans="1:7" hidden="1" x14ac:dyDescent="0.2">
      <c r="A711" s="5">
        <v>43466</v>
      </c>
      <c r="B711" s="26">
        <f>INPC!B479</f>
        <v>0.36</v>
      </c>
      <c r="C711" s="17">
        <f>C710*(1+B711/100)</f>
        <v>357464238087636</v>
      </c>
      <c r="D711" s="17">
        <f>IF(A711&lt;$D$1,C711,C711*1.2225)</f>
        <v>437000031062135</v>
      </c>
      <c r="E711" s="17">
        <f>SQRT(D711*D710)</f>
        <v>436215548474918.94</v>
      </c>
      <c r="F711" s="24">
        <f>E711/$E$507</f>
        <v>2.840034737813752</v>
      </c>
      <c r="G711" s="24">
        <f>E711/$E$753</f>
        <v>0.78392494181916328</v>
      </c>
    </row>
    <row r="712" spans="1:7" hidden="1" x14ac:dyDescent="0.2">
      <c r="A712" s="5">
        <v>43497</v>
      </c>
      <c r="B712" s="26">
        <f>INPC!B480</f>
        <v>0.54</v>
      </c>
      <c r="C712" s="17">
        <f>C711*(1+B712/100)</f>
        <v>359394544973309.25</v>
      </c>
      <c r="D712" s="17">
        <f>IF(A712&lt;$D$1,C712,C712*1.2225)</f>
        <v>439359831229870.5</v>
      </c>
      <c r="E712" s="17">
        <f>SQRT(D712*D711)</f>
        <v>438178342567165</v>
      </c>
      <c r="F712" s="24">
        <f>E712/$E$507</f>
        <v>2.852813749072391</v>
      </c>
      <c r="G712" s="24">
        <f>E712/$E$753</f>
        <v>0.78745228798998745</v>
      </c>
    </row>
    <row r="713" spans="1:7" hidden="1" x14ac:dyDescent="0.2">
      <c r="A713" s="4">
        <v>43525</v>
      </c>
      <c r="B713" s="26">
        <f>INPC!B481</f>
        <v>0.77</v>
      </c>
      <c r="C713" s="17">
        <f>C712*(1+B713/100)</f>
        <v>362161882969603.75</v>
      </c>
      <c r="D713" s="17">
        <f>IF(A713&lt;$D$1,C713,C713*1.2225)</f>
        <v>442742901930340.56</v>
      </c>
      <c r="E713" s="17">
        <f>SQRT(D713*D712)</f>
        <v>441048122850939.62</v>
      </c>
      <c r="F713" s="24">
        <f>E713/$E$507</f>
        <v>2.8714978049807778</v>
      </c>
      <c r="G713" s="24">
        <f>E713/$E$753</f>
        <v>0.79260958316173713</v>
      </c>
    </row>
    <row r="714" spans="1:7" hidden="1" x14ac:dyDescent="0.2">
      <c r="A714" s="5">
        <v>43556</v>
      </c>
      <c r="B714" s="26">
        <f>INPC!B482</f>
        <v>0.6</v>
      </c>
      <c r="C714" s="17">
        <f>C713*(1+B714/100)</f>
        <v>364334854267421.38</v>
      </c>
      <c r="D714" s="17">
        <f>IF(A714&lt;$D$1,C714,C714*1.2225)</f>
        <v>445399359341922.62</v>
      </c>
      <c r="E714" s="17">
        <f>SQRT(D714*D713)</f>
        <v>444069144247781.94</v>
      </c>
      <c r="F714" s="24">
        <f>E714/$E$507</f>
        <v>2.8911665346734887</v>
      </c>
      <c r="G714" s="24">
        <f>E714/$E$753</f>
        <v>0.79803867442415044</v>
      </c>
    </row>
    <row r="715" spans="1:7" hidden="1" x14ac:dyDescent="0.2">
      <c r="A715" s="5">
        <v>43586</v>
      </c>
      <c r="B715" s="26">
        <f>INPC!B483</f>
        <v>0.15</v>
      </c>
      <c r="C715" s="17">
        <f>C714*(1+B715/100)</f>
        <v>364881356548822.5</v>
      </c>
      <c r="D715" s="17">
        <f>IF(A715&lt;$D$1,C715,C715*1.2225)</f>
        <v>446067458380935.5</v>
      </c>
      <c r="E715" s="17">
        <f>SQRT(D715*D714)</f>
        <v>445733283686722.69</v>
      </c>
      <c r="F715" s="24">
        <f>E715/$E$507</f>
        <v>2.9020011182450305</v>
      </c>
      <c r="G715" s="24">
        <f>E715/$E$753</f>
        <v>0.80102930696215047</v>
      </c>
    </row>
    <row r="716" spans="1:7" hidden="1" x14ac:dyDescent="0.2">
      <c r="A716" s="5">
        <v>43617</v>
      </c>
      <c r="B716" s="26">
        <f>INPC!B484</f>
        <v>0.01</v>
      </c>
      <c r="C716" s="17">
        <f>C715*(1+B716/100)</f>
        <v>364917844684477.38</v>
      </c>
      <c r="D716" s="17">
        <f>IF(A716&lt;$D$1,C716,C716*1.2225)</f>
        <v>446112065126773.56</v>
      </c>
      <c r="E716" s="17">
        <f>SQRT(D716*D715)</f>
        <v>446089761196298.06</v>
      </c>
      <c r="F716" s="24">
        <f>E716/$E$507</f>
        <v>2.9043220087176032</v>
      </c>
      <c r="G716" s="24">
        <f>E716/$E$753</f>
        <v>0.8016699343123922</v>
      </c>
    </row>
    <row r="717" spans="1:7" hidden="1" x14ac:dyDescent="0.2">
      <c r="A717" s="4">
        <v>43647</v>
      </c>
      <c r="B717" s="26">
        <f>INPC!B485</f>
        <v>0.1</v>
      </c>
      <c r="C717" s="17">
        <f>C716*(1+B717/100)</f>
        <v>365282762529161.81</v>
      </c>
      <c r="D717" s="17">
        <f>IF(A717&lt;$D$1,C717,C717*1.2225)</f>
        <v>446558177191900.31</v>
      </c>
      <c r="E717" s="17">
        <f>SQRT(D717*D716)</f>
        <v>446335065423193.38</v>
      </c>
      <c r="F717" s="24">
        <f>E717/$E$507</f>
        <v>2.9059190919214251</v>
      </c>
      <c r="G717" s="24">
        <f>E717/$E$753</f>
        <v>0.80211077165179745</v>
      </c>
    </row>
    <row r="718" spans="1:7" hidden="1" x14ac:dyDescent="0.2">
      <c r="A718" s="5">
        <v>43678</v>
      </c>
      <c r="B718" s="26">
        <f>INPC!B486</f>
        <v>0.12</v>
      </c>
      <c r="C718" s="17">
        <f>C717*(1+B718/100)</f>
        <v>365721101844196.81</v>
      </c>
      <c r="D718" s="17">
        <f>IF(A718&lt;$D$1,C718,C718*1.2225)</f>
        <v>447094047004530.56</v>
      </c>
      <c r="E718" s="17">
        <f>SQRT(D718*D717)</f>
        <v>446826031765935.69</v>
      </c>
      <c r="F718" s="24">
        <f>E718/$E$507</f>
        <v>2.9091155884089082</v>
      </c>
      <c r="G718" s="24">
        <f>E718/$E$753</f>
        <v>0.80299308949446735</v>
      </c>
    </row>
    <row r="719" spans="1:7" hidden="1" x14ac:dyDescent="0.2">
      <c r="A719" s="5">
        <v>43709</v>
      </c>
      <c r="B719" s="26">
        <f>INPC!B487</f>
        <v>-0.05</v>
      </c>
      <c r="C719" s="17">
        <f>C718*(1+B719/100)</f>
        <v>365538241293274.75</v>
      </c>
      <c r="D719" s="17">
        <f>IF(A719&lt;$D$1,C719,C719*1.2225)</f>
        <v>446870499981028.38</v>
      </c>
      <c r="E719" s="17">
        <f>SQRT(D719*D718)</f>
        <v>446982259517596.5</v>
      </c>
      <c r="F719" s="24">
        <f>E719/$E$507</f>
        <v>2.9101327283143479</v>
      </c>
      <c r="G719" s="24">
        <f>E719/$E$753</f>
        <v>0.80327384709597749</v>
      </c>
    </row>
    <row r="720" spans="1:7" hidden="1" x14ac:dyDescent="0.2">
      <c r="A720" s="5">
        <v>43739</v>
      </c>
      <c r="B720" s="26">
        <f>INPC!B488</f>
        <v>0.04</v>
      </c>
      <c r="C720" s="17">
        <f>C719*(1+B720/100)</f>
        <v>365684456589792.06</v>
      </c>
      <c r="D720" s="17">
        <f>IF(A720&lt;$D$1,C720,C720*1.2225)</f>
        <v>447049248181020.75</v>
      </c>
      <c r="E720" s="17">
        <f>SQRT(D720*D719)</f>
        <v>446959865145401.56</v>
      </c>
      <c r="F720" s="24">
        <f>E720/$E$507</f>
        <v>2.9099869270122452</v>
      </c>
      <c r="G720" s="24">
        <f>E720/$E$753</f>
        <v>0.8032336020680747</v>
      </c>
    </row>
    <row r="721" spans="1:7" hidden="1" x14ac:dyDescent="0.2">
      <c r="A721" s="4">
        <v>43770</v>
      </c>
      <c r="B721" s="26">
        <f>INPC!B489</f>
        <v>0.54</v>
      </c>
      <c r="C721" s="17">
        <f>C720*(1+B721/100)</f>
        <v>367659152655376.94</v>
      </c>
      <c r="D721" s="17">
        <f>IF(A721&lt;$D$1,C721,C721*1.2225)</f>
        <v>449463314121198.25</v>
      </c>
      <c r="E721" s="17">
        <f>SQRT(D721*D720)</f>
        <v>448254656041442.19</v>
      </c>
      <c r="F721" s="24">
        <f>E721/$E$507</f>
        <v>2.9184168216728472</v>
      </c>
      <c r="G721" s="24">
        <f>E721/$E$753</f>
        <v>0.80556047666343311</v>
      </c>
    </row>
    <row r="722" spans="1:7" hidden="1" x14ac:dyDescent="0.2">
      <c r="A722" s="5">
        <v>43800</v>
      </c>
      <c r="B722" s="26">
        <f>INPC!B490</f>
        <v>1.22</v>
      </c>
      <c r="C722" s="17">
        <f>C721*(1+B722/100)</f>
        <v>372144594317772.56</v>
      </c>
      <c r="D722" s="17">
        <f>IF(A722&lt;$D$1,C722,C722*1.2225)</f>
        <v>454946766553476.94</v>
      </c>
      <c r="E722" s="17">
        <f>SQRT(D722*D721)</f>
        <v>452196728696536.31</v>
      </c>
      <c r="F722" s="24">
        <f>E722/$E$507</f>
        <v>2.9440821683543095</v>
      </c>
      <c r="G722" s="24">
        <f>E722/$E$753</f>
        <v>0.81264479332201101</v>
      </c>
    </row>
    <row r="723" spans="1:7" hidden="1" x14ac:dyDescent="0.2">
      <c r="A723" s="5">
        <v>43831</v>
      </c>
      <c r="B723" s="26">
        <f>INPC!B491</f>
        <v>0.19</v>
      </c>
      <c r="C723" s="17">
        <f>C722*(1+B723/100)</f>
        <v>372851669046976.31</v>
      </c>
      <c r="D723" s="17">
        <f>IF(A723&lt;$D$1,C723,C723*1.2225)</f>
        <v>455811165409928.5</v>
      </c>
      <c r="E723" s="17">
        <f>SQRT(D723*D722)</f>
        <v>455378760881773</v>
      </c>
      <c r="F723" s="24">
        <f>E723/$E$507</f>
        <v>2.9647991784987409</v>
      </c>
      <c r="G723" s="24">
        <f>E723/$E$753</f>
        <v>0.81836323780295506</v>
      </c>
    </row>
    <row r="724" spans="1:7" hidden="1" x14ac:dyDescent="0.2">
      <c r="A724" s="4">
        <v>43862</v>
      </c>
      <c r="B724" s="26">
        <f>INPC!B492</f>
        <v>0.17</v>
      </c>
      <c r="C724" s="17">
        <f>C723*(1+B724/100)</f>
        <v>373485516884356.19</v>
      </c>
      <c r="D724" s="17">
        <f>IF(A724&lt;$D$1,C724,C724*1.2225)</f>
        <v>456586044391125.44</v>
      </c>
      <c r="E724" s="17">
        <f>SQRT(D724*D723)</f>
        <v>456198440378557.44</v>
      </c>
      <c r="F724" s="24">
        <f>E724/$E$507</f>
        <v>2.970135802222678</v>
      </c>
      <c r="G724" s="24">
        <f>E724/$E$753</f>
        <v>0.81983628754653626</v>
      </c>
    </row>
    <row r="725" spans="1:7" hidden="1" x14ac:dyDescent="0.2">
      <c r="A725" s="5">
        <v>43891</v>
      </c>
      <c r="B725" s="26">
        <f>INPC!B493</f>
        <v>0.18</v>
      </c>
      <c r="C725" s="17">
        <f>C724*(1+B725/100)</f>
        <v>374157790814748.06</v>
      </c>
      <c r="D725" s="17">
        <f>IF(A725&lt;$D$1,C725,C725*1.2225)</f>
        <v>457407899271029.5</v>
      </c>
      <c r="E725" s="17">
        <f>SQRT(D725*D724)</f>
        <v>456996787079968.12</v>
      </c>
      <c r="F725" s="24">
        <f>E725/$E$507</f>
        <v>2.9753335361703845</v>
      </c>
      <c r="G725" s="24">
        <f>E725/$E$753</f>
        <v>0.8212710000267377</v>
      </c>
    </row>
    <row r="726" spans="1:7" hidden="1" x14ac:dyDescent="0.2">
      <c r="A726" s="5">
        <v>43922</v>
      </c>
      <c r="B726" s="26">
        <f>INPC!B494</f>
        <v>-0.23</v>
      </c>
      <c r="C726" s="17">
        <f>C725*(1+B726/100)</f>
        <v>373297227895874.12</v>
      </c>
      <c r="D726" s="17">
        <f>IF(A726&lt;$D$1,C726,C726*1.2225)</f>
        <v>456355861102706.06</v>
      </c>
      <c r="E726" s="17">
        <f>SQRT(D726*D725)</f>
        <v>456881577377563.5</v>
      </c>
      <c r="F726" s="24">
        <f>E726/$E$507</f>
        <v>2.9745834492968046</v>
      </c>
      <c r="G726" s="24">
        <f>E726/$E$753</f>
        <v>0.82106395614769601</v>
      </c>
    </row>
    <row r="727" spans="1:7" hidden="1" x14ac:dyDescent="0.2">
      <c r="A727" s="5">
        <v>43952</v>
      </c>
      <c r="B727" s="26">
        <f>INPC!B495</f>
        <v>-0.25</v>
      </c>
      <c r="C727" s="17">
        <f>C726*(1+B727/100)</f>
        <v>372363984826134.44</v>
      </c>
      <c r="D727" s="17">
        <f>IF(A727&lt;$D$1,C727,C727*1.2225)</f>
        <v>455214971449949.31</v>
      </c>
      <c r="E727" s="17">
        <f>SQRT(D727*D726)</f>
        <v>455785059301953.62</v>
      </c>
      <c r="F727" s="24">
        <f>E727/$E$507</f>
        <v>2.9674444341097939</v>
      </c>
      <c r="G727" s="24">
        <f>E727/$E$753</f>
        <v>0.81909339853774521</v>
      </c>
    </row>
    <row r="728" spans="1:7" hidden="1" x14ac:dyDescent="0.2">
      <c r="A728" s="4">
        <v>43983</v>
      </c>
      <c r="B728" s="26">
        <f>INPC!B496</f>
        <v>0.3</v>
      </c>
      <c r="C728" s="17">
        <f>C727*(1+B728/100)</f>
        <v>373481076780612.81</v>
      </c>
      <c r="D728" s="17">
        <f>IF(A728&lt;$D$1,C728,C728*1.2225)</f>
        <v>456580616364299.12</v>
      </c>
      <c r="E728" s="17">
        <f>SQRT(D728*D727)</f>
        <v>455897282557019.25</v>
      </c>
      <c r="F728" s="24">
        <f>E728/$E$507</f>
        <v>2.9681750773523174</v>
      </c>
      <c r="G728" s="24">
        <f>E728/$E$753</f>
        <v>0.81929507545872071</v>
      </c>
    </row>
    <row r="729" spans="1:7" hidden="1" x14ac:dyDescent="0.2">
      <c r="A729" s="5">
        <v>44013</v>
      </c>
      <c r="B729" s="26">
        <f>INPC!B497</f>
        <v>0.44</v>
      </c>
      <c r="C729" s="17">
        <f>C728*(1+B729/100)</f>
        <v>375124393518447.5</v>
      </c>
      <c r="D729" s="17">
        <f>IF(A729&lt;$D$1,C729,C729*1.2225)</f>
        <v>458589571076302.06</v>
      </c>
      <c r="E729" s="17">
        <f>SQRT(D729*D728)</f>
        <v>457583991219379.94</v>
      </c>
      <c r="F729" s="24">
        <f>E729/$E$507</f>
        <v>2.9791566006162715</v>
      </c>
      <c r="G729" s="24">
        <f>E729/$E$753</f>
        <v>0.82232626725055347</v>
      </c>
    </row>
    <row r="730" spans="1:7" hidden="1" x14ac:dyDescent="0.2">
      <c r="A730" s="5">
        <v>44044</v>
      </c>
      <c r="B730" s="26">
        <f>INPC!B498</f>
        <v>0.36</v>
      </c>
      <c r="C730" s="17">
        <f>C729*(1+B730/100)</f>
        <v>376474841335113.94</v>
      </c>
      <c r="D730" s="17">
        <f>IF(A730&lt;$D$1,C730,C730*1.2225)</f>
        <v>460240493532176.75</v>
      </c>
      <c r="E730" s="17">
        <f>SQRT(D730*D729)</f>
        <v>459414290723380.25</v>
      </c>
      <c r="F730" s="24">
        <f>E730/$E$507</f>
        <v>2.9910729896357311</v>
      </c>
      <c r="G730" s="24">
        <f>E730/$E$753</f>
        <v>0.82561550679554774</v>
      </c>
    </row>
    <row r="731" spans="1:7" hidden="1" x14ac:dyDescent="0.2">
      <c r="A731" s="5">
        <v>44075</v>
      </c>
      <c r="B731" s="26">
        <f>INPC!B499</f>
        <v>0.87</v>
      </c>
      <c r="C731" s="17">
        <f>C730*(1+B731/100)</f>
        <v>379750172454729.38</v>
      </c>
      <c r="D731" s="17">
        <f>IF(A731&lt;$D$1,C731,C731*1.2225)</f>
        <v>464244585825906.62</v>
      </c>
      <c r="E731" s="17">
        <f>SQRT(D731*D730)</f>
        <v>462238204068158.19</v>
      </c>
      <c r="F731" s="24">
        <f>E731/$E$507</f>
        <v>3.0094584232219121</v>
      </c>
      <c r="G731" s="24">
        <f>E731/$E$753</f>
        <v>0.8306903742830708</v>
      </c>
    </row>
    <row r="732" spans="1:7" hidden="1" x14ac:dyDescent="0.2">
      <c r="A732" s="4">
        <v>44105</v>
      </c>
      <c r="B732" s="26">
        <f>INPC!B500</f>
        <v>0.89</v>
      </c>
      <c r="C732" s="17">
        <f>C731*(1+B732/100)</f>
        <v>383129948989576.44</v>
      </c>
      <c r="D732" s="17">
        <f>IF(A732&lt;$D$1,C732,C732*1.2225)</f>
        <v>468376362639757.19</v>
      </c>
      <c r="E732" s="17">
        <f>SQRT(D732*D731)</f>
        <v>466305897972928</v>
      </c>
      <c r="F732" s="24">
        <f>E732/$E$507</f>
        <v>3.0359416424302337</v>
      </c>
      <c r="G732" s="24">
        <f>E732/$E$753</f>
        <v>0.83800044545954144</v>
      </c>
    </row>
    <row r="733" spans="1:7" hidden="1" x14ac:dyDescent="0.2">
      <c r="A733" s="5">
        <v>44136</v>
      </c>
      <c r="B733" s="26">
        <f>INPC!B501</f>
        <v>0.95</v>
      </c>
      <c r="C733" s="17">
        <f>C732*(1+B733/100)</f>
        <v>386769683504977.44</v>
      </c>
      <c r="D733" s="17">
        <f>IF(A733&lt;$D$1,C733,C733*1.2225)</f>
        <v>472825938084834.88</v>
      </c>
      <c r="E733" s="17">
        <f>SQRT(D733*D732)</f>
        <v>470595891441803.81</v>
      </c>
      <c r="F733" s="24">
        <f>E733/$E$507</f>
        <v>3.0638721701686369</v>
      </c>
      <c r="G733" s="24">
        <f>E733/$E$753</f>
        <v>0.84571001219151776</v>
      </c>
    </row>
    <row r="734" spans="1:7" hidden="1" x14ac:dyDescent="0.2">
      <c r="A734" s="5">
        <v>44166</v>
      </c>
      <c r="B734" s="26">
        <f>INPC!B502</f>
        <v>1.46</v>
      </c>
      <c r="C734" s="17">
        <f>C733*(1+B734/100)</f>
        <v>392416520884150.06</v>
      </c>
      <c r="D734" s="17">
        <f>IF(A734&lt;$D$1,C734,C734*1.2225)</f>
        <v>479729196780873.44</v>
      </c>
      <c r="E734" s="17">
        <f>SQRT(D734*D733)</f>
        <v>476265060123667.69</v>
      </c>
      <c r="F734" s="24">
        <f>E734/$E$507</f>
        <v>3.1007819869949964</v>
      </c>
      <c r="G734" s="24">
        <f>E734/$E$753</f>
        <v>0.85589810095779595</v>
      </c>
    </row>
    <row r="735" spans="1:7" hidden="1" x14ac:dyDescent="0.2">
      <c r="A735" s="5">
        <v>44197</v>
      </c>
      <c r="B735" s="26">
        <f>INPC!B503</f>
        <v>0.27</v>
      </c>
      <c r="C735" s="17">
        <f>C734*(1+B735/100)</f>
        <v>393476045490537.25</v>
      </c>
      <c r="D735" s="17">
        <f>IF(A735&lt;$D$1,C735,C735*1.2225)</f>
        <v>481024465612181.75</v>
      </c>
      <c r="E735" s="17">
        <f>SQRT(D735*D734)</f>
        <v>480376394632459.88</v>
      </c>
      <c r="F735" s="24">
        <f>E735/$E$507</f>
        <v>3.1275493336990849</v>
      </c>
      <c r="G735" s="24">
        <f>E735/$E$753</f>
        <v>0.86328659886180714</v>
      </c>
    </row>
    <row r="736" spans="1:7" hidden="1" x14ac:dyDescent="0.2">
      <c r="A736" s="4">
        <v>44228</v>
      </c>
      <c r="B736" s="26">
        <f>INPC!B504</f>
        <v>0.82</v>
      </c>
      <c r="C736" s="17">
        <f>C735*(1+B736/100)</f>
        <v>396702549063559.62</v>
      </c>
      <c r="D736" s="17">
        <f>IF(A736&lt;$D$1,C736,C736*1.2225)</f>
        <v>484968866230201.62</v>
      </c>
      <c r="E736" s="17">
        <f>SQRT(D736*D735)</f>
        <v>482992639402432.69</v>
      </c>
      <c r="F736" s="24">
        <f>E736/$E$507</f>
        <v>3.1445827156024206</v>
      </c>
      <c r="G736" s="24">
        <f>E736/$E$753</f>
        <v>0.86798826421109609</v>
      </c>
    </row>
    <row r="737" spans="1:7" hidden="1" x14ac:dyDescent="0.2">
      <c r="A737" s="5">
        <v>44256</v>
      </c>
      <c r="B737" s="26">
        <f>INPC!B505</f>
        <v>0.86</v>
      </c>
      <c r="C737" s="17">
        <f>C736*(1+B737/100)</f>
        <v>400114190985506.19</v>
      </c>
      <c r="D737" s="17">
        <f>IF(A737&lt;$D$1,C737,C737*1.2225)</f>
        <v>489139598479781.31</v>
      </c>
      <c r="E737" s="17">
        <f>SQRT(D737*D736)</f>
        <v>487049767994027.06</v>
      </c>
      <c r="F737" s="24">
        <f>E737/$E$507</f>
        <v>3.1709971480457151</v>
      </c>
      <c r="G737" s="24">
        <f>E737/$E$753</f>
        <v>0.87527934841531119</v>
      </c>
    </row>
    <row r="738" spans="1:7" hidden="1" x14ac:dyDescent="0.2">
      <c r="A738" s="5">
        <v>44287</v>
      </c>
      <c r="B738" s="26">
        <f>INPC!B506</f>
        <v>0.38</v>
      </c>
      <c r="C738" s="17">
        <f>C737*(1+B738/100)</f>
        <v>401634624911251.12</v>
      </c>
      <c r="D738" s="17">
        <f>IF(A738&lt;$D$1,C738,C738*1.2225)</f>
        <v>490998328954004.44</v>
      </c>
      <c r="E738" s="17">
        <f>SQRT(D738*D737)</f>
        <v>490068082493448.38</v>
      </c>
      <c r="F738" s="24">
        <f>E738/$E$507</f>
        <v>3.1906482541513386</v>
      </c>
      <c r="G738" s="24">
        <f>E738/$E$753</f>
        <v>0.88070357510008468</v>
      </c>
    </row>
    <row r="739" spans="1:7" hidden="1" x14ac:dyDescent="0.2">
      <c r="A739" s="4">
        <v>44317</v>
      </c>
      <c r="B739" s="26">
        <f>INPC!B507</f>
        <v>0.96</v>
      </c>
      <c r="C739" s="17">
        <f>C738*(1+B739/100)</f>
        <v>405490317310399.19</v>
      </c>
      <c r="D739" s="17">
        <f>IF(A739&lt;$D$1,C739,C739*1.2225)</f>
        <v>495711912911963</v>
      </c>
      <c r="E739" s="17">
        <f>SQRT(D739*D738)</f>
        <v>493349491620663.19</v>
      </c>
      <c r="F739" s="24">
        <f>E739/$E$507</f>
        <v>3.2120122700440574</v>
      </c>
      <c r="G739" s="24">
        <f>E739/$E$753</f>
        <v>0.88660061033445492</v>
      </c>
    </row>
    <row r="740" spans="1:7" hidden="1" x14ac:dyDescent="0.2">
      <c r="A740" s="5">
        <v>44348</v>
      </c>
      <c r="B740" s="26">
        <f>INPC!B508</f>
        <v>0.6</v>
      </c>
      <c r="C740" s="17">
        <f>C739*(1+B740/100)</f>
        <v>407923259214261.56</v>
      </c>
      <c r="D740" s="17">
        <f>IF(A740&lt;$D$1,C740,C740*1.2225)</f>
        <v>498686184389434.75</v>
      </c>
      <c r="E740" s="17">
        <f>SQRT(D740*D739)</f>
        <v>497196824614211.12</v>
      </c>
      <c r="F740" s="24">
        <f>E740/$E$507</f>
        <v>3.2370608025592649</v>
      </c>
      <c r="G740" s="24">
        <f>E740/$E$753</f>
        <v>0.8935146699173161</v>
      </c>
    </row>
    <row r="741" spans="1:7" hidden="1" x14ac:dyDescent="0.2">
      <c r="A741" s="5">
        <v>44378</v>
      </c>
      <c r="B741" s="26">
        <f>INPC!B509</f>
        <v>1.02</v>
      </c>
      <c r="C741" s="17">
        <f>C740*(1+B741/100)</f>
        <v>412084076458247</v>
      </c>
      <c r="D741" s="17">
        <f>IF(A741&lt;$D$1,C741,C741*1.2225)</f>
        <v>503772783470206.94</v>
      </c>
      <c r="E741" s="17">
        <f>SQRT(D741*D740)</f>
        <v>501223031382240.44</v>
      </c>
      <c r="F741" s="24">
        <f>E741/$E$507</f>
        <v>3.2632739146842251</v>
      </c>
      <c r="G741" s="24">
        <f>E741/$E$753</f>
        <v>0.90075018437207133</v>
      </c>
    </row>
    <row r="742" spans="1:7" hidden="1" x14ac:dyDescent="0.2">
      <c r="A742" s="5">
        <v>44409</v>
      </c>
      <c r="B742" s="26">
        <f>INPC!B510</f>
        <v>0.88</v>
      </c>
      <c r="C742" s="17">
        <f>C741*(1+B742/100)</f>
        <v>415710416331079.56</v>
      </c>
      <c r="D742" s="17">
        <f>IF(A742&lt;$D$1,C742,C742*1.2225)</f>
        <v>508205983964744.75</v>
      </c>
      <c r="E742" s="17">
        <f>SQRT(D742*D741)</f>
        <v>505984528536332.62</v>
      </c>
      <c r="F742" s="24">
        <f>E742/$E$507</f>
        <v>3.294274224895315</v>
      </c>
      <c r="G742" s="24">
        <f>E742/$E$753</f>
        <v>0.9093070925165514</v>
      </c>
    </row>
    <row r="743" spans="1:7" hidden="1" x14ac:dyDescent="0.2">
      <c r="A743" s="4">
        <v>44440</v>
      </c>
      <c r="B743" s="26">
        <f>INPC!B511</f>
        <v>1.2</v>
      </c>
      <c r="C743" s="17">
        <f>C742*(1+B743/100)</f>
        <v>420698941327052.5</v>
      </c>
      <c r="D743" s="17">
        <f>IF(A743&lt;$D$1,C743,C743*1.2225)</f>
        <v>514304455772321.62</v>
      </c>
      <c r="E743" s="17">
        <f>SQRT(D743*D742)</f>
        <v>511246126638848.25</v>
      </c>
      <c r="F743" s="24">
        <f>E743/$E$507</f>
        <v>3.3285305035625998</v>
      </c>
      <c r="G743" s="24">
        <f>E743/$E$753</f>
        <v>0.91876273434502587</v>
      </c>
    </row>
    <row r="744" spans="1:7" hidden="1" x14ac:dyDescent="0.2">
      <c r="A744" s="5">
        <v>44470</v>
      </c>
      <c r="B744" s="26">
        <f>INPC!B512</f>
        <v>1.1599999999999999</v>
      </c>
      <c r="C744" s="17">
        <f>C743*(1+B744/100)</f>
        <v>425579049046446.31</v>
      </c>
      <c r="D744" s="17">
        <f>IF(A744&lt;$D$1,C744,C744*1.2225)</f>
        <v>520270387459280.56</v>
      </c>
      <c r="E744" s="17">
        <f>SQRT(D744*D743)</f>
        <v>517278820827510.94</v>
      </c>
      <c r="F744" s="24">
        <f>E744/$E$507</f>
        <v>3.3678070977103993</v>
      </c>
      <c r="G744" s="24">
        <f>E744/$E$753</f>
        <v>0.92960411644934138</v>
      </c>
    </row>
    <row r="745" spans="1:7" hidden="1" x14ac:dyDescent="0.2">
      <c r="A745" s="5">
        <v>44501</v>
      </c>
      <c r="B745" s="26">
        <f>INPC!B513</f>
        <v>0.84</v>
      </c>
      <c r="C745" s="17">
        <f>C744*(1+B745/100)</f>
        <v>429153913058436.44</v>
      </c>
      <c r="D745" s="17">
        <f>IF(A745&lt;$D$1,C745,C745*1.2225)</f>
        <v>524640658713938.5</v>
      </c>
      <c r="E745" s="17">
        <f>SQRT(D745*D744)</f>
        <v>522450953474096.94</v>
      </c>
      <c r="F745" s="24">
        <f>E745/$E$507</f>
        <v>3.4014809005728606</v>
      </c>
      <c r="G745" s="24">
        <f>E745/$E$753</f>
        <v>0.93889897950094825</v>
      </c>
    </row>
    <row r="746" spans="1:7" hidden="1" x14ac:dyDescent="0.2">
      <c r="A746" s="5">
        <v>44531</v>
      </c>
      <c r="B746" s="26">
        <f>INPC!B514</f>
        <v>0.73</v>
      </c>
      <c r="C746" s="17">
        <f>C745*(1+B746/100)</f>
        <v>432286736623763.06</v>
      </c>
      <c r="D746" s="17">
        <f>IF(A746&lt;$D$1,C746,C746*1.2225)</f>
        <v>528470535522550.31</v>
      </c>
      <c r="E746" s="17">
        <f>SQRT(D746*D745)</f>
        <v>526552115053637.06</v>
      </c>
      <c r="F746" s="24">
        <f>E746/$E$507</f>
        <v>3.4281820151754978</v>
      </c>
      <c r="G746" s="24">
        <f>E746/$E$753</f>
        <v>0.94626919558763323</v>
      </c>
    </row>
    <row r="747" spans="1:7" hidden="1" x14ac:dyDescent="0.2">
      <c r="A747" s="4">
        <v>44562</v>
      </c>
      <c r="B747" s="26">
        <f>INPC!B515</f>
        <v>0.67</v>
      </c>
      <c r="C747" s="17">
        <f>C746*(1+B747/100)</f>
        <v>435183057759142.25</v>
      </c>
      <c r="D747" s="17">
        <f>IF(A747&lt;$D$1,C747,C747*1.2225)</f>
        <v>532011288110551.38</v>
      </c>
      <c r="E747" s="17">
        <f>SQRT(D747*D746)</f>
        <v>530237956328877.75</v>
      </c>
      <c r="F747" s="24">
        <f>E747/$E$507</f>
        <v>3.4521791360859027</v>
      </c>
      <c r="G747" s="24">
        <f>E747/$E$753</f>
        <v>0.95289303767063471</v>
      </c>
    </row>
    <row r="748" spans="1:7" hidden="1" x14ac:dyDescent="0.2">
      <c r="A748" s="5">
        <v>44593</v>
      </c>
      <c r="B748" s="26">
        <f>INPC!B516</f>
        <v>1</v>
      </c>
      <c r="C748" s="17">
        <f>C747*(1+B748/100)</f>
        <v>439534888336733.69</v>
      </c>
      <c r="D748" s="17">
        <f>IF(A748&lt;$D$1,C748,C748*1.2225)</f>
        <v>537331400991656.88</v>
      </c>
      <c r="E748" s="17">
        <f>SQRT(D748*D747)</f>
        <v>534664727454335.25</v>
      </c>
      <c r="F748" s="24">
        <f>E748/$E$507</f>
        <v>3.4810001715042977</v>
      </c>
      <c r="G748" s="24">
        <f>E748/$E$753</f>
        <v>0.96084840814998518</v>
      </c>
    </row>
    <row r="749" spans="1:7" hidden="1" x14ac:dyDescent="0.2">
      <c r="A749" s="5">
        <v>44621</v>
      </c>
      <c r="B749" s="26">
        <f>INPC!B517</f>
        <v>1.71</v>
      </c>
      <c r="C749" s="17">
        <f>C748*(1+B749/100)</f>
        <v>447050934927291.81</v>
      </c>
      <c r="D749" s="17">
        <f>IF(A749&lt;$D$1,C749,C749*1.2225)</f>
        <v>546519767948614.19</v>
      </c>
      <c r="E749" s="17">
        <f>SQRT(D749*D748)</f>
        <v>541906110485445.69</v>
      </c>
      <c r="F749" s="24">
        <f>E749/$E$507</f>
        <v>3.5281460823505983</v>
      </c>
      <c r="G749" s="24">
        <f>E749/$E$753</f>
        <v>0.97386193045839486</v>
      </c>
    </row>
    <row r="750" spans="1:7" hidden="1" x14ac:dyDescent="0.2">
      <c r="A750" s="5">
        <v>44652</v>
      </c>
      <c r="B750" s="26">
        <f>INPC!B518</f>
        <v>1.04</v>
      </c>
      <c r="C750" s="17">
        <f>C749*(1+B750/100)</f>
        <v>451700264650535.62</v>
      </c>
      <c r="D750" s="17">
        <f>IF(A750&lt;$D$1,C750,C750*1.2225)</f>
        <v>552203573535279.75</v>
      </c>
      <c r="E750" s="17">
        <f>SQRT(D750*D749)</f>
        <v>549354319969267.75</v>
      </c>
      <c r="F750" s="24">
        <f>E750/$E$507</f>
        <v>3.5766385621407468</v>
      </c>
      <c r="G750" s="24">
        <f>E750/$E$753</f>
        <v>0.9872471415236026</v>
      </c>
    </row>
    <row r="751" spans="1:7" hidden="1" x14ac:dyDescent="0.2">
      <c r="A751" s="4">
        <v>44682</v>
      </c>
      <c r="B751" s="26">
        <f>INPC!B519</f>
        <v>0.45</v>
      </c>
      <c r="C751" s="17">
        <f>C750*(1+B751/100)</f>
        <v>453732915841463</v>
      </c>
      <c r="D751" s="17">
        <f>IF(A751&lt;$D$1,C751,C751*1.2225)</f>
        <v>554688489616188.5</v>
      </c>
      <c r="E751" s="17">
        <f>SQRT(D751*D750)</f>
        <v>553444636946593.06</v>
      </c>
      <c r="F751" s="24">
        <f>E751/$E$507</f>
        <v>3.6032690716328704</v>
      </c>
      <c r="G751" s="24">
        <f>E751/$E$753</f>
        <v>0.99459786872643186</v>
      </c>
    </row>
    <row r="752" spans="1:7" hidden="1" x14ac:dyDescent="0.2">
      <c r="A752" s="5">
        <v>44713</v>
      </c>
      <c r="B752" s="26">
        <f>INPC!B520</f>
        <v>0.62</v>
      </c>
      <c r="C752" s="17">
        <f>C751*(1+B752/100)</f>
        <v>456546059919680.06</v>
      </c>
      <c r="D752" s="17">
        <f>IF(A752&lt;$D$1,C752,C752*1.2225)</f>
        <v>558127558251808.81</v>
      </c>
      <c r="E752" s="17">
        <f>SQRT(D752*D751)</f>
        <v>556405366886290.12</v>
      </c>
      <c r="F752" s="24">
        <f>E752/$E$507</f>
        <v>3.6225452664118567</v>
      </c>
      <c r="G752" s="24">
        <f>E752/$E$753</f>
        <v>0.99991860993759185</v>
      </c>
    </row>
    <row r="753" spans="1:7" x14ac:dyDescent="0.2">
      <c r="A753" s="5">
        <v>44743</v>
      </c>
      <c r="B753" s="26">
        <f>INPC!B521</f>
        <v>-0.6</v>
      </c>
      <c r="C753" s="17">
        <f>C752*(1+B753/100)</f>
        <v>453806783560162</v>
      </c>
      <c r="D753" s="17">
        <f>IF(A753&lt;$D$1,C753,C753*1.2225)</f>
        <v>554778792902298</v>
      </c>
      <c r="E753" s="17">
        <f>SQRT(D753*D752)</f>
        <v>556450656439944.81</v>
      </c>
      <c r="F753" s="24">
        <f>E753/$E$507</f>
        <v>3.6228401295960992</v>
      </c>
      <c r="G753" s="25">
        <f>E753/$E$753</f>
        <v>1</v>
      </c>
    </row>
    <row r="754" spans="1:7" hidden="1" x14ac:dyDescent="0.2">
      <c r="A754" s="4">
        <v>44774</v>
      </c>
      <c r="B754" s="26">
        <f>INPC!B522</f>
        <v>-0.31</v>
      </c>
      <c r="C754" s="17">
        <f>C753*(1+B754/100)</f>
        <v>452399982531125.5</v>
      </c>
      <c r="D754" s="17">
        <f>IF(A754&lt;$D$1,C754,C754*1.2225)</f>
        <v>553058978644300.88</v>
      </c>
      <c r="E754" s="17">
        <f>SQRT(D754*D753)</f>
        <v>553918218310305.31</v>
      </c>
      <c r="F754" s="24">
        <f>E754/$E$507</f>
        <v>3.6063523810857916</v>
      </c>
      <c r="G754" s="24">
        <f>E754/$E$753</f>
        <v>0.99544894394438943</v>
      </c>
    </row>
    <row r="755" spans="1:7" hidden="1" x14ac:dyDescent="0.2">
      <c r="A755" s="5">
        <v>44805</v>
      </c>
      <c r="B755" s="26">
        <f>INPC!B523</f>
        <v>-0.32</v>
      </c>
      <c r="C755" s="17">
        <f>C754*(1+B755/100)</f>
        <v>450952302587025.94</v>
      </c>
      <c r="D755" s="17">
        <f>IF(A755&lt;$D$1,C755,C755*1.2225)</f>
        <v>551289189912639.19</v>
      </c>
      <c r="E755" s="17">
        <f>SQRT(D755*D754)</f>
        <v>552173375228042.12</v>
      </c>
      <c r="F755" s="24">
        <f>E755/$E$507</f>
        <v>3.594992366563186</v>
      </c>
      <c r="G755" s="24">
        <f>E755/$E$753</f>
        <v>0.99231327852272144</v>
      </c>
    </row>
    <row r="756" spans="1:7" hidden="1" x14ac:dyDescent="0.2">
      <c r="A756" s="5">
        <v>44835</v>
      </c>
      <c r="B756" s="26">
        <f>INPC!B524</f>
        <v>0.47</v>
      </c>
      <c r="C756" s="17">
        <f>C755*(1+B756/100)</f>
        <v>453071778409184.94</v>
      </c>
      <c r="D756" s="17">
        <f>IF(A756&lt;$D$1,C756,C756*1.2225)</f>
        <v>553880249105228.56</v>
      </c>
      <c r="E756" s="17">
        <f>SQRT(D756*D755)</f>
        <v>552583200828465.5</v>
      </c>
      <c r="F756" s="24">
        <f>E756/$E$507</f>
        <v>3.5976605863130713</v>
      </c>
      <c r="G756" s="24">
        <f>E756/$E$753</f>
        <v>0.99304977796913296</v>
      </c>
    </row>
    <row r="757" spans="1:7" hidden="1" x14ac:dyDescent="0.2">
      <c r="A757" s="5">
        <v>44866</v>
      </c>
      <c r="B757" s="26">
        <f>INPC!B525</f>
        <v>0.38</v>
      </c>
      <c r="C757" s="17">
        <f>C756*(1+B757/100)</f>
        <v>454793451167139.88</v>
      </c>
      <c r="D757" s="17">
        <f>IF(A757&lt;$D$1,C757,C757*1.2225)</f>
        <v>555984994051828.44</v>
      </c>
      <c r="E757" s="17">
        <f>SQRT(D757*D756)</f>
        <v>554931623719711.75</v>
      </c>
      <c r="F757" s="24">
        <f>E757/$E$507</f>
        <v>3.6129502810833158</v>
      </c>
      <c r="G757" s="24">
        <f>E757/$E$753</f>
        <v>0.99727013940472009</v>
      </c>
    </row>
    <row r="758" spans="1:7" hidden="1" x14ac:dyDescent="0.2">
      <c r="A758" s="4">
        <v>44896</v>
      </c>
      <c r="B758" s="26">
        <f>INPC!B526</f>
        <v>0.69</v>
      </c>
      <c r="C758" s="17">
        <f>C757*(1+B758/100)</f>
        <v>457931525980193.12</v>
      </c>
      <c r="D758" s="17">
        <f>IF(A758&lt;$D$1,C758,C758*1.2225)</f>
        <v>559821290510786.06</v>
      </c>
      <c r="E758" s="17">
        <f>SQRT(D758*D757)</f>
        <v>557899844841998.81</v>
      </c>
      <c r="F758" s="24">
        <f>E758/$E$507</f>
        <v>3.6322752481237615</v>
      </c>
      <c r="G758" s="24">
        <f>E758/$E$753</f>
        <v>1.0026043430541094</v>
      </c>
    </row>
    <row r="759" spans="1:7" hidden="1" x14ac:dyDescent="0.2">
      <c r="A759" s="5">
        <v>44927</v>
      </c>
      <c r="B759" s="26">
        <f>INPC!B527</f>
        <v>0.46</v>
      </c>
      <c r="C759" s="17">
        <f>C758*(1+B759/100)</f>
        <v>460038010999702</v>
      </c>
      <c r="D759" s="17">
        <f>IF(A759&lt;$D$1,C759,C759*1.2225)</f>
        <v>562396468447135.69</v>
      </c>
      <c r="E759" s="17">
        <f>SQRT(D759*D758)</f>
        <v>561107402147560.44</v>
      </c>
      <c r="F759" s="24">
        <f>E759/$E$507</f>
        <v>3.6531584426893193</v>
      </c>
      <c r="G759" s="24">
        <f>E759/$E$753</f>
        <v>1.0083686588446288</v>
      </c>
    </row>
    <row r="760" spans="1:7" hidden="1" x14ac:dyDescent="0.2">
      <c r="A760" s="5">
        <v>44958</v>
      </c>
      <c r="B760" s="26">
        <f>INPC!B528</f>
        <v>0.77</v>
      </c>
      <c r="C760" s="17">
        <f>C759*(1+B760/100)</f>
        <v>463580303684399.75</v>
      </c>
      <c r="D760" s="17">
        <f>IF(A760&lt;$D$1,C760,C760*1.2225)</f>
        <v>566726921254178.62</v>
      </c>
      <c r="E760" s="17">
        <f>SQRT(D760*D759)</f>
        <v>564557542760052</v>
      </c>
      <c r="F760" s="24">
        <f>E760/$E$507</f>
        <v>3.67562100557612</v>
      </c>
      <c r="G760" s="24">
        <f>E760/$E$753</f>
        <v>1.0145689221969354</v>
      </c>
    </row>
    <row r="761" spans="1:7" hidden="1" x14ac:dyDescent="0.2">
      <c r="A761" s="5">
        <v>44986</v>
      </c>
      <c r="B761" s="26">
        <f>INPC!B529</f>
        <v>0.64</v>
      </c>
      <c r="C761" s="17">
        <f>C760*(1+B761/100)</f>
        <v>466547217627979.88</v>
      </c>
      <c r="D761" s="17">
        <f>IF(A761&lt;$D$1,C761,C761*1.2225)</f>
        <v>570353973550205.38</v>
      </c>
      <c r="E761" s="17">
        <f>SQRT(D761*D760)</f>
        <v>568537555008633.62</v>
      </c>
      <c r="F761" s="24">
        <f>E761/$E$507</f>
        <v>3.7015333626262401</v>
      </c>
      <c r="G761" s="24">
        <f>E761/$E$753</f>
        <v>1.0217214202711491</v>
      </c>
    </row>
    <row r="762" spans="1:7" hidden="1" x14ac:dyDescent="0.2">
      <c r="A762" s="4">
        <v>45017</v>
      </c>
      <c r="B762" s="26">
        <f>INPC!B530</f>
        <v>0.53</v>
      </c>
      <c r="C762" s="17">
        <f>C761*(1+B762/100)</f>
        <v>469019917881408.19</v>
      </c>
      <c r="D762" s="17">
        <f>IF(A762&lt;$D$1,C762,C762*1.2225)</f>
        <v>573376849610021.5</v>
      </c>
      <c r="E762" s="17">
        <f>SQRT(D762*D761)</f>
        <v>571863414214246</v>
      </c>
      <c r="F762" s="24">
        <f>E762/$E$507</f>
        <v>3.7231867761967559</v>
      </c>
      <c r="G762" s="24">
        <f>E762/$E$753</f>
        <v>1.0276983369431332</v>
      </c>
    </row>
    <row r="763" spans="1:7" hidden="1" x14ac:dyDescent="0.2">
      <c r="A763" s="5">
        <v>45047</v>
      </c>
      <c r="B763" s="26">
        <f>INPC!B531</f>
        <v>0.36</v>
      </c>
      <c r="C763" s="17">
        <f>C762*(1+B763/100)</f>
        <v>470708389585781.25</v>
      </c>
      <c r="D763" s="17">
        <f>IF(A763&lt;$D$1,C763,C763*1.2225)</f>
        <v>575441006268617.5</v>
      </c>
      <c r="E763" s="17">
        <f>SQRT(D763*D762)</f>
        <v>574408000737037.5</v>
      </c>
      <c r="F763" s="24">
        <f>E763/$E$507</f>
        <v>3.7397536183081073</v>
      </c>
      <c r="G763" s="24">
        <f>E763/$E$753</f>
        <v>1.0322712249312096</v>
      </c>
    </row>
    <row r="764" spans="1:7" hidden="1" x14ac:dyDescent="0.2">
      <c r="A764" s="5">
        <v>45078</v>
      </c>
      <c r="B764" s="26">
        <f>INPC!B532</f>
        <v>-0.1</v>
      </c>
      <c r="C764" s="17">
        <f>C763*(1+B764/100)</f>
        <v>470237681196195.44</v>
      </c>
      <c r="D764" s="17">
        <f>IF(A764&lt;$D$1,C764,C764*1.2225)</f>
        <v>574865565262348.88</v>
      </c>
      <c r="E764" s="17">
        <f>SQRT(D764*D763)</f>
        <v>575153213799369.88</v>
      </c>
      <c r="F764" s="24">
        <f>E764/$E$507</f>
        <v>3.7446054191930047</v>
      </c>
      <c r="G764" s="24">
        <f>E764/$E$753</f>
        <v>1.0336104507074897</v>
      </c>
    </row>
    <row r="765" spans="1:7" hidden="1" x14ac:dyDescent="0.2">
      <c r="A765" s="5">
        <v>45108</v>
      </c>
      <c r="B765" s="26">
        <f>INPC!B533</f>
        <v>-0.09</v>
      </c>
      <c r="C765" s="17">
        <f>C764*(1+B765/100)</f>
        <v>469814467283118.88</v>
      </c>
      <c r="D765" s="17">
        <f>IF(A765&lt;$D$1,C765,C765*1.2225)</f>
        <v>574348186253612.75</v>
      </c>
      <c r="E765" s="17">
        <f>SQRT(D765*D764)</f>
        <v>574606817526635.25</v>
      </c>
      <c r="F765" s="24">
        <f>E765/$E$507</f>
        <v>3.7410480393595629</v>
      </c>
      <c r="G765" s="24">
        <f>E765/$E$753</f>
        <v>1.0326285194860758</v>
      </c>
    </row>
    <row r="766" spans="1:7" hidden="1" x14ac:dyDescent="0.2">
      <c r="A766" s="4">
        <v>45139</v>
      </c>
      <c r="B766" s="26">
        <f>INPC!B534</f>
        <v>0.2</v>
      </c>
      <c r="C766" s="17">
        <f>C765*(1+B766/100)</f>
        <v>470754096217685.12</v>
      </c>
      <c r="D766" s="17">
        <f>IF(A766&lt;$D$1,C766,C766*1.2225)</f>
        <v>575496882626120</v>
      </c>
      <c r="E766" s="17">
        <f>SQRT(D766*D765)</f>
        <v>574922247552588.88</v>
      </c>
      <c r="F766" s="24">
        <f>E766/$E$507</f>
        <v>3.743101685164234</v>
      </c>
      <c r="G766" s="24">
        <f>E766/$E$753</f>
        <v>1.0331953802172171</v>
      </c>
    </row>
    <row r="767" spans="1:7" hidden="1" x14ac:dyDescent="0.2">
      <c r="A767" s="5">
        <v>45170</v>
      </c>
      <c r="B767" s="26">
        <f>INPC!B535</f>
        <v>0.11</v>
      </c>
      <c r="C767" s="17">
        <f>C766*(1+B767/100)</f>
        <v>471271925723524.62</v>
      </c>
      <c r="D767" s="17">
        <f>IF(A767&lt;$D$1,C767,C767*1.2225)</f>
        <v>576129929197008.88</v>
      </c>
      <c r="E767" s="17">
        <f>SQRT(D767*D766)</f>
        <v>575813318915502.12</v>
      </c>
      <c r="F767" s="24">
        <f>E767/$E$507</f>
        <v>3.7489031143736979</v>
      </c>
      <c r="G767" s="24">
        <f>E767/$E$753</f>
        <v>1.0347967286074125</v>
      </c>
    </row>
    <row r="768" spans="1:7" hidden="1" x14ac:dyDescent="0.2">
      <c r="A768" s="5">
        <v>45200</v>
      </c>
      <c r="B768" s="26">
        <f>INPC!B536</f>
        <v>0.12</v>
      </c>
      <c r="C768" s="17">
        <f>C767*(1+B768/100)</f>
        <v>471837452034392.88</v>
      </c>
      <c r="D768" s="17">
        <f>IF(A768&lt;$D$1,C768,C768*1.2225)</f>
        <v>576821285112045.25</v>
      </c>
      <c r="E768" s="17">
        <f>SQRT(D768*D767)</f>
        <v>576475503513315.25</v>
      </c>
      <c r="F768" s="24">
        <f>E768/$E$507</f>
        <v>3.7532143482744829</v>
      </c>
      <c r="G768" s="24">
        <f>E768/$E$753</f>
        <v>1.0359867435533012</v>
      </c>
    </row>
    <row r="769" spans="1:7" hidden="1" x14ac:dyDescent="0.2">
      <c r="A769" s="4">
        <v>45231</v>
      </c>
      <c r="B769" s="26">
        <f>INPC!B537</f>
        <v>0.1</v>
      </c>
      <c r="C769" s="17">
        <f>C768*(1+B769/100)</f>
        <v>472309289486427.19</v>
      </c>
      <c r="D769" s="17">
        <f>IF(A769&lt;$D$1,C769,C769*1.2225)</f>
        <v>577398106397157.25</v>
      </c>
      <c r="E769" s="17">
        <f>SQRT(D769*D768)</f>
        <v>577109623687969.38</v>
      </c>
      <c r="F769" s="24">
        <f>E769/$E$507</f>
        <v>3.7573428653121321</v>
      </c>
      <c r="G769" s="24">
        <f>E769/$E$753</f>
        <v>1.0371263237969677</v>
      </c>
    </row>
    <row r="770" spans="1:7" hidden="1" x14ac:dyDescent="0.2">
      <c r="A770" s="5">
        <v>45261</v>
      </c>
      <c r="B770" s="26">
        <f>INPC!B538</f>
        <v>0.55000000000000004</v>
      </c>
      <c r="C770" s="17">
        <f>C769*(1+B770/100)</f>
        <v>474906990578602.56</v>
      </c>
      <c r="D770" s="17">
        <f>IF(A770&lt;$D$1,C770,C770*1.2225)</f>
        <v>580573795982341.62</v>
      </c>
      <c r="E770" s="17">
        <f>SQRT(D770*D769)</f>
        <v>578983773886638</v>
      </c>
      <c r="F770" s="24">
        <f>E770/$E$507</f>
        <v>3.7695447496482322</v>
      </c>
      <c r="G770" s="24">
        <f>E770/$E$753</f>
        <v>1.0404943676243557</v>
      </c>
    </row>
    <row r="771" spans="1:7" hidden="1" x14ac:dyDescent="0.2">
      <c r="A771" s="5">
        <v>45292</v>
      </c>
      <c r="B771" s="26">
        <f>INPC!B539</f>
        <v>0.56999999999999995</v>
      </c>
      <c r="C771" s="17">
        <f>C770*(1+B771/100)</f>
        <v>477613960424900.62</v>
      </c>
      <c r="D771" s="17">
        <f>IF(A771&lt;$D$1,C771,C771*1.2225)</f>
        <v>583883066619441</v>
      </c>
      <c r="E771" s="17">
        <f>SQRT(D771*D770)</f>
        <v>582226080141605.62</v>
      </c>
      <c r="F771" s="24">
        <f>E771/$E$507</f>
        <v>3.7906541815034984</v>
      </c>
      <c r="G771" s="24">
        <f>E771/$E$753</f>
        <v>1.0463211309095519</v>
      </c>
    </row>
    <row r="772" spans="1:7" hidden="1" x14ac:dyDescent="0.2">
      <c r="A772" s="5">
        <v>45323</v>
      </c>
      <c r="B772" s="26">
        <f>INPC!B540</f>
        <v>0.81</v>
      </c>
      <c r="C772" s="17">
        <f>C771*(1+B772/100)</f>
        <v>481482633504342.31</v>
      </c>
      <c r="D772" s="17">
        <f>IF(A772&lt;$D$1,C772,C772*1.2225)</f>
        <v>588612519459058.5</v>
      </c>
      <c r="E772" s="17">
        <f>SQRT(D772*D771)</f>
        <v>586243023764334.88</v>
      </c>
      <c r="F772" s="24">
        <f>E772/$E$507</f>
        <v>3.8168069847868193</v>
      </c>
      <c r="G772" s="24">
        <f>E772/$E$753</f>
        <v>1.0535399985238501</v>
      </c>
    </row>
    <row r="773" spans="1:7" hidden="1" x14ac:dyDescent="0.2">
      <c r="A773" s="4">
        <v>45352</v>
      </c>
      <c r="B773" s="26">
        <f>INPC!B541</f>
        <v>0.19</v>
      </c>
      <c r="C773" s="17">
        <f>C772*(1+B773/100)</f>
        <v>482397450508000.56</v>
      </c>
      <c r="D773" s="17">
        <f>IF(A773&lt;$D$1,C773,C773*1.2225)</f>
        <v>589730883246030.62</v>
      </c>
      <c r="E773" s="17">
        <f>SQRT(D773*D772)</f>
        <v>589171435993176.75</v>
      </c>
      <c r="F773" s="24">
        <f>E773/$E$507</f>
        <v>3.835872771152359</v>
      </c>
      <c r="G773" s="24">
        <f>E773/$E$753</f>
        <v>1.0588026614301664</v>
      </c>
    </row>
    <row r="774" spans="1:7" hidden="1" x14ac:dyDescent="0.2">
      <c r="A774" s="5">
        <v>45383</v>
      </c>
      <c r="B774" s="26">
        <f>INPC!B542</f>
        <v>0.37</v>
      </c>
      <c r="C774" s="17">
        <f>C773*(1+B774/100)</f>
        <v>484182321074880.19</v>
      </c>
      <c r="D774" s="17">
        <f>IF(A774&lt;$D$1,C774,C774*1.2225)</f>
        <v>591912887514041</v>
      </c>
      <c r="E774" s="17">
        <f>SQRT(D774*D773)</f>
        <v>590820878065733</v>
      </c>
      <c r="F774" s="24">
        <f>E774/$E$507</f>
        <v>3.8466116657205349</v>
      </c>
      <c r="G774" s="24">
        <f>E774/$E$753</f>
        <v>1.0617668812643366</v>
      </c>
    </row>
    <row r="775" spans="1:7" hidden="1" x14ac:dyDescent="0.2">
      <c r="A775" s="5">
        <v>45413</v>
      </c>
      <c r="B775" s="26">
        <f>INPC!B543</f>
        <v>0.46</v>
      </c>
      <c r="C775" s="17">
        <f>C774*(1+B775/100)</f>
        <v>486409559751824.62</v>
      </c>
      <c r="D775" s="17">
        <f>IF(A775&lt;$D$1,C775,C775*1.2225)</f>
        <v>594635686796605.62</v>
      </c>
      <c r="E775" s="17">
        <f>SQRT(D775*D774)</f>
        <v>593272725136318.5</v>
      </c>
      <c r="F775" s="24">
        <f>E775/$E$507</f>
        <v>3.8625747162734432</v>
      </c>
      <c r="G775" s="24">
        <f>E775/$E$753</f>
        <v>1.0661731067619789</v>
      </c>
    </row>
    <row r="776" spans="1:7" hidden="1" x14ac:dyDescent="0.2">
      <c r="A776" s="5">
        <v>45444</v>
      </c>
      <c r="B776" s="26">
        <f>INPC!B544</f>
        <v>0.25</v>
      </c>
      <c r="C776" s="17">
        <f>C775*(1+B776/100)</f>
        <v>487625583651204.19</v>
      </c>
      <c r="D776" s="17">
        <f>IF(A776&lt;$D$1,C776,C776*1.2225)</f>
        <v>596122276013597.12</v>
      </c>
      <c r="E776" s="17">
        <f>SQRT(D776*D775)</f>
        <v>595378517425764.25</v>
      </c>
      <c r="F776" s="24">
        <f>E776/$E$507</f>
        <v>3.8762847348033995</v>
      </c>
      <c r="G776" s="24">
        <f>E776/$E$753</f>
        <v>1.0699574356419521</v>
      </c>
    </row>
    <row r="777" spans="1:7" hidden="1" x14ac:dyDescent="0.2">
      <c r="A777" s="4">
        <v>45474</v>
      </c>
      <c r="B777" s="26">
        <f>INPC!B545</f>
        <v>0.26</v>
      </c>
      <c r="C777" s="17">
        <f>C776*(1+B777/100)</f>
        <v>488893410168697.31</v>
      </c>
      <c r="D777" s="17">
        <f>IF(A777&lt;$D$1,C777,C777*1.2225)</f>
        <v>597672193931232.38</v>
      </c>
      <c r="E777" s="17">
        <f>SQRT(D777*D776)</f>
        <v>596896731902869.62</v>
      </c>
      <c r="F777" s="24">
        <f>E777/$E$507</f>
        <v>3.8861692560441159</v>
      </c>
      <c r="G777" s="24">
        <f>E777/$E$753</f>
        <v>1.0726858257687939</v>
      </c>
    </row>
    <row r="778" spans="1:7" hidden="1" x14ac:dyDescent="0.2">
      <c r="A778" s="5">
        <v>45505</v>
      </c>
      <c r="B778" s="26">
        <f>INPC!B546</f>
        <v>-0.14000000000000001</v>
      </c>
      <c r="C778" s="17">
        <f>C777*(1+B778/100)</f>
        <v>488208959394461.19</v>
      </c>
      <c r="D778" s="17">
        <f>IF(A778&lt;$D$1,C778,C778*1.2225)</f>
        <v>596835452859728.75</v>
      </c>
      <c r="E778" s="17">
        <f>SQRT(D778*D777)</f>
        <v>597253676863202.5</v>
      </c>
      <c r="F778" s="24">
        <f>E778/$E$507</f>
        <v>3.8884931899120789</v>
      </c>
      <c r="G778" s="24">
        <f>E778/$E$753</f>
        <v>1.0733272931769133</v>
      </c>
    </row>
    <row r="779" spans="1:7" hidden="1" x14ac:dyDescent="0.2">
      <c r="A779" s="5">
        <v>45536</v>
      </c>
      <c r="B779" s="26">
        <f>INPC!B547</f>
        <v>0.48</v>
      </c>
      <c r="C779" s="17">
        <f>C778*(1+B779/100)</f>
        <v>490552362399554.56</v>
      </c>
      <c r="D779" s="17">
        <f>IF(A779&lt;$D$1,C779,C779*1.2225)</f>
        <v>599700263033455.38</v>
      </c>
      <c r="E779" s="17">
        <f>SQRT(D779*D778)</f>
        <v>598266143173480</v>
      </c>
      <c r="F779" s="24">
        <f>E779/$E$507</f>
        <v>3.8950849757897426</v>
      </c>
      <c r="G779" s="24">
        <f>E779/$E$753</f>
        <v>1.0751468009779375</v>
      </c>
    </row>
    <row r="780" spans="1:7" hidden="1" x14ac:dyDescent="0.2">
      <c r="A780" s="5">
        <v>45566</v>
      </c>
      <c r="B780" s="26">
        <f>INPC!B548</f>
        <v>0.61</v>
      </c>
      <c r="C780" s="17">
        <f>C779*(1+B780/100)</f>
        <v>493544731810191.81</v>
      </c>
      <c r="D780" s="17">
        <f>IF(A780&lt;$D$1,C780,C780*1.2225)</f>
        <v>603358434637959.5</v>
      </c>
      <c r="E780" s="17">
        <f>SQRT(D780*D779)</f>
        <v>601526567955097.25</v>
      </c>
      <c r="F780" s="24">
        <f>E780/$E$507</f>
        <v>3.9163123705311618</v>
      </c>
      <c r="G780" s="24">
        <f>E780/$E$753</f>
        <v>1.0810061251496021</v>
      </c>
    </row>
    <row r="781" spans="1:7" hidden="1" x14ac:dyDescent="0.2">
      <c r="A781" s="4">
        <v>45597</v>
      </c>
      <c r="B781" s="26">
        <f>INPC!B549</f>
        <v>0.33</v>
      </c>
      <c r="C781" s="17">
        <f>C780*(1+B781/100)</f>
        <v>495173429425165.5</v>
      </c>
      <c r="D781" s="17">
        <f>IF(A781&lt;$D$1,C781,C781*1.2225)</f>
        <v>605349517472264.75</v>
      </c>
      <c r="E781" s="17">
        <f>SQRT(D781*D780)</f>
        <v>604353156085835.12</v>
      </c>
      <c r="F781" s="24">
        <f>E781/$E$507</f>
        <v>3.9347152186388308</v>
      </c>
      <c r="G781" s="24">
        <f>E781/$E$753</f>
        <v>1.0860857995071127</v>
      </c>
    </row>
    <row r="782" spans="1:7" hidden="1" x14ac:dyDescent="0.2">
      <c r="A782" s="5">
        <v>45627</v>
      </c>
      <c r="B782" s="26">
        <f>INPC!B550</f>
        <v>0.48</v>
      </c>
      <c r="C782" s="17">
        <f>C781*(1+B782/100)</f>
        <v>497550261886406.25</v>
      </c>
      <c r="D782" s="17">
        <f>IF(A782&lt;$D$1,C782,C782*1.2225)</f>
        <v>608255195156131.62</v>
      </c>
      <c r="E782" s="17">
        <f>SQRT(D782*D781)</f>
        <v>606800617079253.25</v>
      </c>
      <c r="F782" s="24">
        <f>E782/$E$507</f>
        <v>3.9506497130993172</v>
      </c>
      <c r="G782" s="24">
        <f>E782/$E$753</f>
        <v>1.0904841427655725</v>
      </c>
    </row>
    <row r="783" spans="1:7" hidden="1" x14ac:dyDescent="0.2">
      <c r="A783" s="5">
        <v>45658</v>
      </c>
      <c r="B783" s="26">
        <f>INPC!B551</f>
        <v>0</v>
      </c>
      <c r="C783" s="17">
        <f>C782*(1+B783/100)</f>
        <v>497550261886406.25</v>
      </c>
      <c r="D783" s="17">
        <f>IF(A783&lt;$D$1,C783,C783*1.2225)</f>
        <v>608255195156131.62</v>
      </c>
      <c r="E783" s="17">
        <f>SQRT(D783*D782)</f>
        <v>608255195156131.62</v>
      </c>
      <c r="F783" s="24">
        <f>E783/$E$507</f>
        <v>3.9601199217648264</v>
      </c>
      <c r="G783" s="24">
        <f>E783/$E$753</f>
        <v>1.0930981716287684</v>
      </c>
    </row>
    <row r="784" spans="1:7" hidden="1" x14ac:dyDescent="0.2">
      <c r="A784" s="4">
        <v>45689</v>
      </c>
      <c r="B784" s="26">
        <f>INPC!B552</f>
        <v>1.48</v>
      </c>
      <c r="C784" s="17">
        <f>C783*(1+B784/100)</f>
        <v>504914005762325</v>
      </c>
      <c r="D784" s="17">
        <f>IF(A784&lt;$D$1,C784,C784*1.2225)</f>
        <v>617257372044442.25</v>
      </c>
      <c r="E784" s="17">
        <f>SQRT(D784*D783)</f>
        <v>612739751684557.5</v>
      </c>
      <c r="F784" s="24">
        <f>E784/$E$507</f>
        <v>3.9893171761243904</v>
      </c>
      <c r="G784" s="24">
        <f>E784/$E$753</f>
        <v>1.1011573885180379</v>
      </c>
    </row>
    <row r="785" spans="1:7" hidden="1" x14ac:dyDescent="0.2">
      <c r="A785" s="5">
        <v>45717</v>
      </c>
      <c r="B785" s="26">
        <f>INPC!B553</f>
        <v>0.51</v>
      </c>
      <c r="C785" s="17">
        <f>C784*(1+B785/100)</f>
        <v>507489067191712.94</v>
      </c>
      <c r="D785" s="17">
        <f>IF(A785&lt;$D$1,C785,C785*1.2225)</f>
        <v>620405384641869</v>
      </c>
      <c r="E785" s="17">
        <f>SQRT(D785*D784)</f>
        <v>618829376586358.75</v>
      </c>
      <c r="F785" s="24">
        <f>E785/$E$507</f>
        <v>4.0289644246505754</v>
      </c>
      <c r="G785" s="24">
        <f>E785/$E$753</f>
        <v>1.1121010810653005</v>
      </c>
    </row>
    <row r="786" spans="1:7" hidden="1" x14ac:dyDescent="0.2">
      <c r="A786" s="5">
        <v>45748</v>
      </c>
      <c r="B786" s="26">
        <f>INPC!B554</f>
        <v>0.48</v>
      </c>
      <c r="C786" s="17">
        <f>C785*(1+B786/100)</f>
        <v>509925014714233.12</v>
      </c>
      <c r="D786" s="17">
        <f>IF(A786&lt;$D$1,C786,C786*1.2225)</f>
        <v>623383330488150</v>
      </c>
      <c r="E786" s="17">
        <f>SQRT(D786*D785)</f>
        <v>621892575072922.12</v>
      </c>
      <c r="F786" s="24">
        <f>E786/$E$507</f>
        <v>4.0489077534500044</v>
      </c>
      <c r="G786" s="24">
        <f>E786/$E$753</f>
        <v>1.1176059689670619</v>
      </c>
    </row>
    <row r="787" spans="1:7" hidden="1" x14ac:dyDescent="0.2">
      <c r="A787" s="5">
        <v>45778</v>
      </c>
      <c r="B787" s="26">
        <f>INPC!B555</f>
        <v>0.35</v>
      </c>
      <c r="C787" s="17">
        <f>C786*(1+B787/100)</f>
        <v>511709752265733</v>
      </c>
      <c r="D787" s="17">
        <f>IF(A787&lt;$D$1,C787,C787*1.2225)</f>
        <v>625565172144858.5</v>
      </c>
      <c r="E787" s="17">
        <f>SQRT(D787*D786)</f>
        <v>624473298427606.75</v>
      </c>
      <c r="F787" s="24">
        <f>E787/$E$507</f>
        <v>4.0657098688299262</v>
      </c>
      <c r="G787" s="24">
        <f>E787/$E$753</f>
        <v>1.1222437986197313</v>
      </c>
    </row>
    <row r="788" spans="1:7" hidden="1" x14ac:dyDescent="0.2">
      <c r="A788" s="4">
        <v>45809</v>
      </c>
      <c r="B788" s="26">
        <f>INPC!B556</f>
        <v>0.23</v>
      </c>
      <c r="C788" s="17">
        <f>C787*(1+B788/100)</f>
        <v>512886684695944.19</v>
      </c>
      <c r="D788" s="17">
        <f>IF(A788&lt;$D$1,C788,C788*1.2225)</f>
        <v>627003972040791.75</v>
      </c>
      <c r="E788" s="17">
        <f>SQRT(D788*D787)</f>
        <v>626284158912875.5</v>
      </c>
      <c r="F788" s="24">
        <f>E788/$E$507</f>
        <v>4.0774996977378546</v>
      </c>
      <c r="G788" s="24">
        <f>E788/$E$753</f>
        <v>1.125498104215944</v>
      </c>
    </row>
    <row r="789" spans="1:7" hidden="1" x14ac:dyDescent="0.2">
      <c r="A789" s="5">
        <v>45839</v>
      </c>
      <c r="B789" s="26">
        <f>INPC!B557</f>
        <v>0.21</v>
      </c>
      <c r="C789" s="17">
        <f>C788*(1+B789/100)</f>
        <v>513963746733805.69</v>
      </c>
      <c r="D789" s="17">
        <f>IF(A789&lt;$D$1,C789,C789*1.2225)</f>
        <v>628320680382077.38</v>
      </c>
      <c r="E789" s="17">
        <f>SQRT(D789*D788)</f>
        <v>627661980937937.12</v>
      </c>
      <c r="F789" s="24">
        <f>E789/$E$507</f>
        <v>4.0864701767301339</v>
      </c>
      <c r="G789" s="24">
        <f>E789/$E$753</f>
        <v>1.1279741944300821</v>
      </c>
    </row>
    <row r="790" spans="1:7" hidden="1" x14ac:dyDescent="0.2">
      <c r="A790" s="4">
        <v>45870</v>
      </c>
      <c r="B790" s="26">
        <f>INPC!B558</f>
        <v>-0.21</v>
      </c>
      <c r="C790" s="17">
        <f>C789*(1+B790/100)</f>
        <v>512884422865664.69</v>
      </c>
      <c r="D790" s="17">
        <f>IF(A790&lt;$D$1,C790,C790*1.2225)</f>
        <v>627001206953275</v>
      </c>
      <c r="E790" s="17">
        <f>SQRT(D790*D789)</f>
        <v>627660596941743.25</v>
      </c>
      <c r="F790" s="24">
        <f>E790/$E$507</f>
        <v>4.0864611660534598</v>
      </c>
      <c r="G790" s="24">
        <f>E790/$E$753</f>
        <v>1.1279717072442412</v>
      </c>
    </row>
    <row r="791" spans="1:7" hidden="1" x14ac:dyDescent="0.2">
      <c r="A791" s="5">
        <v>45901</v>
      </c>
      <c r="B791" s="26">
        <f>INPC!B559</f>
        <v>0.52</v>
      </c>
      <c r="C791" s="17">
        <f>C790*(1+B791/100)</f>
        <v>515551421864566.19</v>
      </c>
      <c r="D791" s="17">
        <f>IF(A791&lt;$D$1,C791,C791*1.2225)</f>
        <v>630261613229432.12</v>
      </c>
      <c r="E791" s="17">
        <f>SQRT(D791*D790)</f>
        <v>628629296319517.88</v>
      </c>
      <c r="F791" s="24">
        <f>E791/$E$507</f>
        <v>4.0927680019583166</v>
      </c>
      <c r="G791" s="24">
        <f>E791/$E$753</f>
        <v>1.1297125612922392</v>
      </c>
    </row>
    <row r="792" spans="1:7" hidden="1" x14ac:dyDescent="0.2">
      <c r="A792" s="5">
        <v>45931</v>
      </c>
      <c r="B792" s="26">
        <f>INPC!B560</f>
        <v>0.03</v>
      </c>
      <c r="C792" s="17">
        <f>C791*(1+B792/100)</f>
        <v>515706087291125.56</v>
      </c>
      <c r="D792" s="17">
        <f>IF(A792&lt;$D$1,C792,C792*1.2225)</f>
        <v>630450691713401</v>
      </c>
      <c r="E792" s="17">
        <f>SQRT(D792*D791)</f>
        <v>630356145382036.75</v>
      </c>
      <c r="F792" s="24">
        <f>E792/$E$507</f>
        <v>4.1040108642122206</v>
      </c>
      <c r="G792" s="24">
        <f>E792/$E$753</f>
        <v>1.1328158895793634</v>
      </c>
    </row>
    <row r="793" spans="1:7" hidden="1" x14ac:dyDescent="0.2">
      <c r="A793" s="4">
        <v>45962</v>
      </c>
      <c r="B793" s="26">
        <f>INPC!B561</f>
        <v>0.03</v>
      </c>
      <c r="C793" s="17">
        <f>C792*(1+B793/100)</f>
        <v>515860799117312.88</v>
      </c>
      <c r="D793" s="17">
        <f>IF(A793&lt;$D$1,C793,C793*1.2225)</f>
        <v>630639826920915</v>
      </c>
      <c r="E793" s="17">
        <f>SQRT(D793*D792)</f>
        <v>630545252225651.38</v>
      </c>
      <c r="F793" s="24">
        <f>E793/$E$507</f>
        <v>4.1052420674714849</v>
      </c>
      <c r="G793" s="24">
        <f>E793/$E$753</f>
        <v>1.1331557343462371</v>
      </c>
    </row>
    <row r="794" spans="1:7" hidden="1" x14ac:dyDescent="0.2">
      <c r="A794" s="5">
        <v>45992</v>
      </c>
      <c r="B794" s="26">
        <f>INPC!B562</f>
        <v>0.21</v>
      </c>
      <c r="C794" s="17">
        <f>C793*(1+B794/100)</f>
        <v>516944106795459.25</v>
      </c>
      <c r="D794" s="17">
        <f>IF(A794&lt;$D$1,C794,C794*1.2225)</f>
        <v>631964170557448.88</v>
      </c>
      <c r="E794" s="17">
        <f>SQRT(D794*D793)</f>
        <v>631301651463521.12</v>
      </c>
      <c r="F794" s="24">
        <f>E794/$E$507</f>
        <v>4.1101666973218336</v>
      </c>
      <c r="G794" s="24">
        <f>E794/$E$753</f>
        <v>1.1345150628493412</v>
      </c>
    </row>
    <row r="795" spans="1:7" hidden="1" x14ac:dyDescent="0.2">
      <c r="A795" s="5">
        <v>46023</v>
      </c>
      <c r="B795" s="26">
        <f>INPC!B563</f>
        <v>0.39</v>
      </c>
      <c r="C795" s="17">
        <f>C794*(1+B795/100)</f>
        <v>518960188811961.56</v>
      </c>
      <c r="D795" s="17">
        <f>IF(A795&lt;$D$1,C795,C795*1.2225)</f>
        <v>634428830822623</v>
      </c>
      <c r="E795" s="17">
        <f>SQRT(D795*D794)</f>
        <v>633195301505428.88</v>
      </c>
      <c r="F795" s="24">
        <f>E795/$E$507</f>
        <v>4.1224955377748689</v>
      </c>
      <c r="G795" s="24">
        <f>E795/$E$753</f>
        <v>1.1379181499335094</v>
      </c>
    </row>
    <row r="796" spans="1:7" hidden="1" x14ac:dyDescent="0.2">
      <c r="A796" s="4">
        <v>46054</v>
      </c>
      <c r="B796" s="26">
        <f>INPC!B564</f>
        <v>0.56000000000000005</v>
      </c>
      <c r="C796" s="17">
        <f>C795*(1+B796/100)</f>
        <v>521866365869308.56</v>
      </c>
      <c r="D796" s="17">
        <f>IF(A796&lt;$D$1,C796,C796*1.2225)</f>
        <v>637981632275229.62</v>
      </c>
      <c r="E796" s="17">
        <f>SQRT(D796*D795)</f>
        <v>636202751527123.25</v>
      </c>
      <c r="F796" s="24">
        <f>E796/$E$507</f>
        <v>4.1420759093680237</v>
      </c>
      <c r="G796" s="24">
        <f>E796/$E$753</f>
        <v>1.1433228520160543</v>
      </c>
    </row>
    <row r="797" spans="1:7" hidden="1" x14ac:dyDescent="0.2">
      <c r="A797" s="5">
        <v>46082</v>
      </c>
      <c r="B797" s="26">
        <f>INPC!B565</f>
        <v>0.91</v>
      </c>
      <c r="C797" s="17">
        <f>C796*(1+B797/100)</f>
        <v>526615349798719.31</v>
      </c>
      <c r="D797" s="17">
        <f>IF(A797&lt;$D$1,C797,C797*1.2225)</f>
        <v>643787265128934.38</v>
      </c>
      <c r="E797" s="17">
        <f>SQRT(D797*D796)</f>
        <v>640877874672673.88</v>
      </c>
      <c r="F797" s="24">
        <f>E797/$E$507</f>
        <v>4.172513871021021</v>
      </c>
      <c r="G797" s="24">
        <f>E797/$E$753</f>
        <v>1.1517245370377973</v>
      </c>
    </row>
    <row r="798" spans="1:7" hidden="1" x14ac:dyDescent="0.2">
      <c r="A798" s="5">
        <v>46113</v>
      </c>
      <c r="B798" s="26">
        <f>INPC!B566</f>
        <v>0.81</v>
      </c>
      <c r="C798" s="17">
        <f>C797*(1+B798/100)</f>
        <v>530880934132088.94</v>
      </c>
      <c r="D798" s="17">
        <f>IF(A798&lt;$D$1,C798,C798*1.2225)</f>
        <v>649001941976478.62</v>
      </c>
      <c r="E798" s="17">
        <f>SQRT(D798*D797)</f>
        <v>646389344968189</v>
      </c>
      <c r="F798" s="24">
        <f>E798/$E$507</f>
        <v>4.208396973194743</v>
      </c>
      <c r="G798" s="24">
        <f>E798/$E$753</f>
        <v>1.1616292253182936</v>
      </c>
    </row>
    <row r="799" spans="1:7" hidden="1" x14ac:dyDescent="0.2">
      <c r="A799" s="4">
        <v>46143</v>
      </c>
      <c r="B799" s="26">
        <f>INPC!B567</f>
        <v>0.65</v>
      </c>
      <c r="C799" s="17">
        <f>C798*(1+B799/100)</f>
        <v>534331660203947.5</v>
      </c>
      <c r="D799" s="17">
        <f>IF(A799&lt;$D$1,C799,C799*1.2225)</f>
        <v>653220454599325.75</v>
      </c>
      <c r="E799" s="17">
        <f>SQRT(D799*D798)</f>
        <v>651107781840856.62</v>
      </c>
      <c r="F799" s="24">
        <f>E799/$E$507</f>
        <v>4.2391169341713928</v>
      </c>
      <c r="G799" s="24">
        <f>E799/$E$753</f>
        <v>1.1701087496356071</v>
      </c>
    </row>
    <row r="800" spans="1:7" hidden="1" x14ac:dyDescent="0.2">
      <c r="A800" s="5">
        <v>46174</v>
      </c>
      <c r="B800" s="26">
        <f>INPC!B568</f>
        <v>0.14000000000000001</v>
      </c>
      <c r="C800" s="17">
        <f>C799*(1+B800/100)</f>
        <v>535079724528233.06</v>
      </c>
      <c r="D800" s="17">
        <f>IF(A800&lt;$D$1,C800,C800*1.2225)</f>
        <v>654134963235764.88</v>
      </c>
      <c r="E800" s="17">
        <f>SQRT(D800*D799)</f>
        <v>653677548990463.38</v>
      </c>
      <c r="F800" s="24">
        <f>E800/$E$507</f>
        <v>4.255847717836696</v>
      </c>
      <c r="G800" s="24">
        <f>E800/$E$753</f>
        <v>1.1747268898424092</v>
      </c>
    </row>
    <row r="801" spans="1:7" hidden="1" x14ac:dyDescent="0.2">
      <c r="A801" s="5">
        <v>46204</v>
      </c>
      <c r="B801" s="26">
        <f>INPC!B569</f>
        <v>-0.01</v>
      </c>
      <c r="C801" s="17">
        <f>C800*(1+B801/100)</f>
        <v>535026216555780.25</v>
      </c>
      <c r="D801" s="17">
        <f>IF(A801&lt;$D$1,C801,C801*1.2225)</f>
        <v>654069549739441.38</v>
      </c>
      <c r="E801" s="17">
        <f>SQRT(D801*D800)</f>
        <v>654102255669893.5</v>
      </c>
      <c r="F801" s="24">
        <f>E801/$E$507</f>
        <v>4.2586128226734683</v>
      </c>
      <c r="G801" s="24">
        <f>E801/$E$753</f>
        <v>1.1754901321434379</v>
      </c>
    </row>
    <row r="802" spans="1:7" x14ac:dyDescent="0.2">
      <c r="A802" s="4"/>
    </row>
    <row r="803" spans="1:7" x14ac:dyDescent="0.2">
      <c r="A803" s="5"/>
    </row>
    <row r="804" spans="1:7" x14ac:dyDescent="0.2">
      <c r="A804" s="5"/>
    </row>
    <row r="805" spans="1:7" x14ac:dyDescent="0.2">
      <c r="A805" s="4"/>
    </row>
    <row r="806" spans="1:7" x14ac:dyDescent="0.2">
      <c r="A806" s="5"/>
    </row>
  </sheetData>
  <autoFilter ref="A2:G801" xr:uid="{5940780F-FC41-7047-B3A9-6FB4195890B2}">
    <filterColumn colId="6">
      <colorFilter dxfId="0"/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9F35-0D69-C54C-98A9-22A76E3B9F00}">
  <dimension ref="A1:G790"/>
  <sheetViews>
    <sheetView workbookViewId="0">
      <selection activeCell="B8" sqref="B8"/>
    </sheetView>
  </sheetViews>
  <sheetFormatPr baseColWidth="10" defaultRowHeight="16" x14ac:dyDescent="0.2"/>
  <cols>
    <col min="1" max="1" width="9.6640625" bestFit="1" customWidth="1"/>
    <col min="2" max="2" width="14.1640625" bestFit="1" customWidth="1"/>
    <col min="3" max="9" width="28.1640625" customWidth="1"/>
  </cols>
  <sheetData>
    <row r="1" spans="1:7" ht="17" x14ac:dyDescent="0.2">
      <c r="A1" s="10" t="s">
        <v>988</v>
      </c>
      <c r="B1" s="10" t="s">
        <v>989</v>
      </c>
      <c r="C1" s="1"/>
      <c r="D1" s="1"/>
      <c r="E1" s="1"/>
      <c r="F1" s="1"/>
      <c r="G1" s="2"/>
    </row>
    <row r="2" spans="1:7" x14ac:dyDescent="0.2">
      <c r="A2" s="8">
        <v>1960</v>
      </c>
      <c r="B2" s="15">
        <v>2750000000000</v>
      </c>
      <c r="C2" s="2"/>
      <c r="D2" s="2"/>
      <c r="E2" s="2"/>
      <c r="F2" s="2"/>
      <c r="G2" s="2"/>
    </row>
    <row r="3" spans="1:7" x14ac:dyDescent="0.2">
      <c r="A3" s="15">
        <v>1970</v>
      </c>
      <c r="B3" s="16">
        <v>2750000000000</v>
      </c>
      <c r="C3" s="2"/>
      <c r="D3" s="2"/>
      <c r="E3" s="2"/>
      <c r="F3" s="2"/>
      <c r="G3" s="2"/>
    </row>
    <row r="4" spans="1:7" x14ac:dyDescent="0.2">
      <c r="A4" s="8">
        <v>1980</v>
      </c>
      <c r="B4" s="16">
        <v>2750000000000</v>
      </c>
      <c r="C4" s="2"/>
      <c r="D4" s="2"/>
      <c r="E4" s="2"/>
      <c r="F4" s="2"/>
      <c r="G4" s="2"/>
    </row>
    <row r="5" spans="1:7" x14ac:dyDescent="0.2">
      <c r="A5" s="8">
        <v>1991</v>
      </c>
      <c r="B5" s="16">
        <v>2750000</v>
      </c>
      <c r="C5" s="2"/>
      <c r="D5" s="2"/>
      <c r="E5" s="2"/>
      <c r="F5" s="2"/>
      <c r="G5" s="2"/>
    </row>
    <row r="6" spans="1:7" x14ac:dyDescent="0.2">
      <c r="A6" s="8">
        <v>2000</v>
      </c>
      <c r="B6" s="16">
        <v>1</v>
      </c>
      <c r="C6" s="2"/>
      <c r="D6" s="2"/>
      <c r="E6" s="2"/>
      <c r="F6" s="2"/>
      <c r="G6" s="2"/>
    </row>
    <row r="7" spans="1:7" x14ac:dyDescent="0.2">
      <c r="A7" s="15">
        <v>2010</v>
      </c>
      <c r="B7" s="16">
        <v>1</v>
      </c>
      <c r="C7" s="2"/>
      <c r="D7" s="2"/>
      <c r="E7" s="2"/>
      <c r="F7" s="2"/>
      <c r="G7" s="2"/>
    </row>
    <row r="8" spans="1:7" x14ac:dyDescent="0.2">
      <c r="A8" s="8">
        <v>2022</v>
      </c>
      <c r="B8" s="16">
        <v>1</v>
      </c>
      <c r="C8" s="2"/>
      <c r="D8" s="2"/>
      <c r="E8" s="2"/>
      <c r="F8" s="2"/>
      <c r="G8" s="2"/>
    </row>
    <row r="9" spans="1:7" x14ac:dyDescent="0.2">
      <c r="A9" s="5"/>
      <c r="B9" s="3"/>
      <c r="C9" s="2"/>
      <c r="D9" s="2"/>
      <c r="E9" s="2"/>
      <c r="F9" s="2"/>
      <c r="G9" s="2"/>
    </row>
    <row r="10" spans="1:7" x14ac:dyDescent="0.2">
      <c r="A10" s="5"/>
      <c r="B10" s="3"/>
      <c r="C10" s="2"/>
      <c r="D10" s="2"/>
      <c r="E10" s="2"/>
      <c r="F10" s="2"/>
      <c r="G10" s="2"/>
    </row>
    <row r="11" spans="1:7" x14ac:dyDescent="0.2">
      <c r="A11" s="4"/>
      <c r="B11" s="3"/>
      <c r="C11" s="2"/>
      <c r="D11" s="2"/>
      <c r="E11" s="2"/>
      <c r="F11" s="2"/>
      <c r="G11" s="2"/>
    </row>
    <row r="12" spans="1:7" x14ac:dyDescent="0.2">
      <c r="A12" s="5"/>
      <c r="B12" s="3"/>
      <c r="C12" s="2"/>
      <c r="D12" s="2"/>
      <c r="E12" s="2"/>
      <c r="F12" s="2"/>
      <c r="G12" s="2"/>
    </row>
    <row r="13" spans="1:7" x14ac:dyDescent="0.2">
      <c r="A13" s="5"/>
      <c r="B13" s="3"/>
      <c r="C13" s="2"/>
      <c r="D13" s="2"/>
      <c r="E13" s="2"/>
      <c r="F13" s="2"/>
      <c r="G13" s="2"/>
    </row>
    <row r="14" spans="1:7" x14ac:dyDescent="0.2">
      <c r="A14" s="5"/>
      <c r="B14" s="3"/>
      <c r="C14" s="2"/>
      <c r="D14" s="2"/>
      <c r="E14" s="2"/>
      <c r="F14" s="2"/>
      <c r="G14" s="2"/>
    </row>
    <row r="15" spans="1:7" x14ac:dyDescent="0.2">
      <c r="A15" s="4"/>
      <c r="B15" s="3"/>
      <c r="C15" s="2"/>
      <c r="D15" s="2"/>
      <c r="E15" s="2"/>
      <c r="F15" s="2"/>
      <c r="G15" s="2"/>
    </row>
    <row r="16" spans="1:7" x14ac:dyDescent="0.2">
      <c r="A16" s="5"/>
      <c r="B16" s="3"/>
      <c r="C16" s="2"/>
      <c r="D16" s="2"/>
      <c r="E16" s="2"/>
      <c r="F16" s="2"/>
      <c r="G16" s="2"/>
    </row>
    <row r="17" spans="1:7" x14ac:dyDescent="0.2">
      <c r="A17" s="5"/>
      <c r="B17" s="3"/>
      <c r="C17" s="2"/>
      <c r="D17" s="2"/>
      <c r="E17" s="2"/>
      <c r="F17" s="2"/>
      <c r="G17" s="2"/>
    </row>
    <row r="18" spans="1:7" x14ac:dyDescent="0.2">
      <c r="A18" s="4"/>
      <c r="B18" s="3"/>
      <c r="C18" s="2"/>
      <c r="D18" s="2"/>
      <c r="E18" s="2"/>
      <c r="F18" s="2"/>
      <c r="G18" s="2"/>
    </row>
    <row r="19" spans="1:7" x14ac:dyDescent="0.2">
      <c r="A19" s="5"/>
      <c r="B19" s="3"/>
      <c r="C19" s="2"/>
      <c r="D19" s="2"/>
      <c r="E19" s="2"/>
      <c r="F19" s="2"/>
      <c r="G19" s="2"/>
    </row>
    <row r="20" spans="1:7" x14ac:dyDescent="0.2">
      <c r="A20" s="5"/>
      <c r="B20" s="3"/>
      <c r="C20" s="2"/>
      <c r="D20" s="2"/>
      <c r="E20" s="2"/>
      <c r="F20" s="2"/>
      <c r="G20" s="2"/>
    </row>
    <row r="21" spans="1:7" x14ac:dyDescent="0.2">
      <c r="A21" s="5"/>
      <c r="B21" s="3"/>
      <c r="C21" s="2"/>
      <c r="D21" s="2"/>
      <c r="E21" s="2"/>
      <c r="F21" s="2"/>
      <c r="G21" s="2"/>
    </row>
    <row r="22" spans="1:7" x14ac:dyDescent="0.2">
      <c r="A22" s="4"/>
      <c r="B22" s="3"/>
      <c r="C22" s="2"/>
      <c r="D22" s="2"/>
      <c r="E22" s="2"/>
      <c r="F22" s="2"/>
      <c r="G22" s="2"/>
    </row>
    <row r="23" spans="1:7" x14ac:dyDescent="0.2">
      <c r="A23" s="5"/>
      <c r="B23" s="3"/>
      <c r="C23" s="2"/>
      <c r="D23" s="2"/>
      <c r="E23" s="2"/>
      <c r="F23" s="2"/>
      <c r="G23" s="2"/>
    </row>
    <row r="24" spans="1:7" x14ac:dyDescent="0.2">
      <c r="A24" s="5"/>
      <c r="B24" s="3"/>
      <c r="C24" s="2"/>
      <c r="D24" s="2"/>
      <c r="E24" s="2"/>
      <c r="F24" s="2"/>
      <c r="G24" s="2"/>
    </row>
    <row r="25" spans="1:7" x14ac:dyDescent="0.2">
      <c r="A25" s="5"/>
      <c r="B25" s="3"/>
      <c r="C25" s="2"/>
      <c r="D25" s="2"/>
      <c r="E25" s="2"/>
      <c r="F25" s="2"/>
      <c r="G25" s="2"/>
    </row>
    <row r="26" spans="1:7" x14ac:dyDescent="0.2">
      <c r="A26" s="4"/>
      <c r="B26" s="3"/>
      <c r="C26" s="2"/>
      <c r="D26" s="2"/>
      <c r="E26" s="2"/>
      <c r="F26" s="2"/>
      <c r="G26" s="2"/>
    </row>
    <row r="27" spans="1:7" x14ac:dyDescent="0.2">
      <c r="A27" s="5"/>
      <c r="B27" s="3"/>
      <c r="C27" s="2"/>
      <c r="D27" s="2"/>
      <c r="E27" s="2"/>
      <c r="F27" s="2"/>
      <c r="G27" s="2"/>
    </row>
    <row r="28" spans="1:7" x14ac:dyDescent="0.2">
      <c r="A28" s="5"/>
      <c r="B28" s="3"/>
      <c r="C28" s="2"/>
      <c r="D28" s="2"/>
      <c r="E28" s="2"/>
      <c r="F28" s="2"/>
      <c r="G28" s="2"/>
    </row>
    <row r="29" spans="1:7" x14ac:dyDescent="0.2">
      <c r="A29" s="5"/>
      <c r="B29" s="3"/>
      <c r="C29" s="2"/>
      <c r="D29" s="2"/>
      <c r="E29" s="2"/>
      <c r="F29" s="2"/>
      <c r="G29" s="2"/>
    </row>
    <row r="30" spans="1:7" x14ac:dyDescent="0.2">
      <c r="A30" s="4"/>
      <c r="B30" s="3"/>
      <c r="C30" s="2"/>
      <c r="D30" s="2"/>
      <c r="E30" s="2"/>
      <c r="F30" s="2"/>
      <c r="G30" s="2"/>
    </row>
    <row r="31" spans="1:7" x14ac:dyDescent="0.2">
      <c r="A31" s="5"/>
      <c r="B31" s="3"/>
      <c r="C31" s="2"/>
      <c r="D31" s="2"/>
      <c r="E31" s="2"/>
      <c r="F31" s="2"/>
      <c r="G31" s="2"/>
    </row>
    <row r="32" spans="1:7" x14ac:dyDescent="0.2">
      <c r="A32" s="5"/>
      <c r="B32" s="3"/>
      <c r="C32" s="2"/>
      <c r="D32" s="2"/>
      <c r="E32" s="2"/>
      <c r="F32" s="2"/>
      <c r="G32" s="2"/>
    </row>
    <row r="33" spans="1:7" x14ac:dyDescent="0.2">
      <c r="A33" s="4"/>
      <c r="B33" s="3"/>
      <c r="C33" s="2"/>
      <c r="D33" s="2"/>
      <c r="E33" s="2"/>
      <c r="F33" s="2"/>
      <c r="G33" s="2"/>
    </row>
    <row r="34" spans="1:7" x14ac:dyDescent="0.2">
      <c r="A34" s="5"/>
      <c r="B34" s="3"/>
      <c r="C34" s="2"/>
      <c r="D34" s="2"/>
      <c r="E34" s="2"/>
      <c r="F34" s="2"/>
      <c r="G34" s="2"/>
    </row>
    <row r="35" spans="1:7" x14ac:dyDescent="0.2">
      <c r="A35" s="5"/>
      <c r="B35" s="3"/>
      <c r="C35" s="2"/>
      <c r="D35" s="2"/>
      <c r="E35" s="2"/>
      <c r="F35" s="2"/>
      <c r="G35" s="2"/>
    </row>
    <row r="36" spans="1:7" x14ac:dyDescent="0.2">
      <c r="A36" s="5"/>
      <c r="B36" s="3"/>
      <c r="C36" s="2"/>
      <c r="D36" s="2"/>
      <c r="E36" s="2"/>
      <c r="F36" s="2"/>
      <c r="G36" s="2"/>
    </row>
    <row r="37" spans="1:7" x14ac:dyDescent="0.2">
      <c r="A37" s="4"/>
      <c r="B37" s="3"/>
      <c r="C37" s="2"/>
      <c r="D37" s="2"/>
      <c r="E37" s="2"/>
      <c r="F37" s="2"/>
      <c r="G37" s="2"/>
    </row>
    <row r="38" spans="1:7" x14ac:dyDescent="0.2">
      <c r="A38" s="5"/>
      <c r="B38" s="3"/>
      <c r="C38" s="2"/>
      <c r="D38" s="2"/>
      <c r="E38" s="2"/>
      <c r="F38" s="2"/>
      <c r="G38" s="2"/>
    </row>
    <row r="39" spans="1:7" x14ac:dyDescent="0.2">
      <c r="A39" s="5"/>
      <c r="B39" s="3"/>
      <c r="C39" s="2"/>
      <c r="D39" s="2"/>
      <c r="E39" s="2"/>
      <c r="F39" s="2"/>
      <c r="G39" s="2"/>
    </row>
    <row r="40" spans="1:7" x14ac:dyDescent="0.2">
      <c r="A40" s="5"/>
      <c r="B40" s="3"/>
      <c r="C40" s="2"/>
      <c r="D40" s="2"/>
      <c r="E40" s="2"/>
      <c r="F40" s="2"/>
      <c r="G40" s="2"/>
    </row>
    <row r="41" spans="1:7" x14ac:dyDescent="0.2">
      <c r="A41" s="4"/>
      <c r="B41" s="3"/>
      <c r="C41" s="2"/>
      <c r="D41" s="2"/>
      <c r="E41" s="2"/>
      <c r="F41" s="2"/>
      <c r="G41" s="2"/>
    </row>
    <row r="42" spans="1:7" x14ac:dyDescent="0.2">
      <c r="A42" s="5"/>
      <c r="B42" s="3"/>
      <c r="C42" s="2"/>
      <c r="D42" s="2"/>
      <c r="E42" s="2"/>
      <c r="F42" s="2"/>
      <c r="G42" s="2"/>
    </row>
    <row r="43" spans="1:7" x14ac:dyDescent="0.2">
      <c r="A43" s="5"/>
      <c r="B43" s="3"/>
      <c r="C43" s="2"/>
      <c r="D43" s="2"/>
      <c r="E43" s="2"/>
      <c r="F43" s="2"/>
      <c r="G43" s="2"/>
    </row>
    <row r="44" spans="1:7" x14ac:dyDescent="0.2">
      <c r="A44" s="5"/>
      <c r="B44" s="3"/>
      <c r="C44" s="2"/>
      <c r="D44" s="2"/>
      <c r="E44" s="2"/>
      <c r="F44" s="2"/>
      <c r="G44" s="2"/>
    </row>
    <row r="45" spans="1:7" x14ac:dyDescent="0.2">
      <c r="A45" s="4"/>
      <c r="B45" s="3"/>
      <c r="C45" s="2"/>
      <c r="D45" s="2"/>
      <c r="E45" s="2"/>
      <c r="F45" s="2"/>
      <c r="G45" s="2"/>
    </row>
    <row r="46" spans="1:7" x14ac:dyDescent="0.2">
      <c r="A46" s="5"/>
      <c r="B46" s="3"/>
      <c r="C46" s="2"/>
      <c r="D46" s="2"/>
      <c r="E46" s="2"/>
      <c r="F46" s="2"/>
      <c r="G46" s="2"/>
    </row>
    <row r="47" spans="1:7" x14ac:dyDescent="0.2">
      <c r="A47" s="5"/>
      <c r="B47" s="3"/>
      <c r="C47" s="2"/>
      <c r="D47" s="2"/>
      <c r="E47" s="2"/>
      <c r="F47" s="2"/>
      <c r="G47" s="2"/>
    </row>
    <row r="48" spans="1:7" x14ac:dyDescent="0.2">
      <c r="A48" s="4"/>
      <c r="B48" s="3"/>
      <c r="C48" s="2"/>
      <c r="D48" s="2"/>
      <c r="E48" s="2"/>
      <c r="F48" s="2"/>
      <c r="G48" s="2"/>
    </row>
    <row r="49" spans="1:7" x14ac:dyDescent="0.2">
      <c r="A49" s="5"/>
      <c r="B49" s="3"/>
      <c r="C49" s="2"/>
      <c r="D49" s="2"/>
      <c r="E49" s="2"/>
      <c r="F49" s="2"/>
      <c r="G49" s="2"/>
    </row>
    <row r="50" spans="1:7" x14ac:dyDescent="0.2">
      <c r="A50" s="5"/>
      <c r="B50" s="3"/>
      <c r="C50" s="2"/>
      <c r="D50" s="2"/>
      <c r="E50" s="2"/>
      <c r="F50" s="2"/>
      <c r="G50" s="2"/>
    </row>
    <row r="51" spans="1:7" x14ac:dyDescent="0.2">
      <c r="A51" s="5"/>
      <c r="B51" s="3"/>
      <c r="C51" s="2"/>
      <c r="D51" s="2"/>
      <c r="E51" s="2"/>
      <c r="F51" s="2"/>
      <c r="G51" s="2"/>
    </row>
    <row r="52" spans="1:7" x14ac:dyDescent="0.2">
      <c r="A52" s="4"/>
      <c r="B52" s="3"/>
      <c r="C52" s="2"/>
      <c r="D52" s="2"/>
      <c r="E52" s="2"/>
      <c r="F52" s="2"/>
      <c r="G52" s="2"/>
    </row>
    <row r="53" spans="1:7" x14ac:dyDescent="0.2">
      <c r="A53" s="5"/>
      <c r="B53" s="3"/>
      <c r="C53" s="2"/>
      <c r="D53" s="2"/>
      <c r="E53" s="2"/>
      <c r="F53" s="2"/>
      <c r="G53" s="2"/>
    </row>
    <row r="54" spans="1:7" x14ac:dyDescent="0.2">
      <c r="A54" s="5"/>
      <c r="B54" s="3"/>
      <c r="C54" s="2"/>
      <c r="D54" s="2"/>
      <c r="E54" s="2"/>
      <c r="F54" s="2"/>
      <c r="G54" s="2"/>
    </row>
    <row r="55" spans="1:7" x14ac:dyDescent="0.2">
      <c r="A55" s="5"/>
      <c r="B55" s="3"/>
      <c r="C55" s="2"/>
      <c r="D55" s="2"/>
      <c r="E55" s="2"/>
      <c r="F55" s="2"/>
      <c r="G55" s="2"/>
    </row>
    <row r="56" spans="1:7" x14ac:dyDescent="0.2">
      <c r="A56" s="4"/>
      <c r="B56" s="3"/>
      <c r="C56" s="2"/>
      <c r="D56" s="2"/>
      <c r="E56" s="2"/>
      <c r="F56" s="2"/>
      <c r="G56" s="2"/>
    </row>
    <row r="57" spans="1:7" x14ac:dyDescent="0.2">
      <c r="A57" s="5"/>
      <c r="B57" s="3"/>
      <c r="C57" s="2"/>
      <c r="D57" s="2"/>
      <c r="E57" s="2"/>
      <c r="F57" s="2"/>
      <c r="G57" s="2"/>
    </row>
    <row r="58" spans="1:7" x14ac:dyDescent="0.2">
      <c r="A58" s="5"/>
      <c r="B58" s="3"/>
      <c r="C58" s="2"/>
      <c r="D58" s="2"/>
      <c r="E58" s="2"/>
      <c r="F58" s="2"/>
      <c r="G58" s="2"/>
    </row>
    <row r="59" spans="1:7" x14ac:dyDescent="0.2">
      <c r="A59" s="5"/>
      <c r="B59" s="3"/>
      <c r="C59" s="2"/>
      <c r="D59" s="2"/>
      <c r="E59" s="2"/>
      <c r="F59" s="2"/>
      <c r="G59" s="2"/>
    </row>
    <row r="60" spans="1:7" x14ac:dyDescent="0.2">
      <c r="A60" s="4"/>
      <c r="B60" s="3"/>
      <c r="C60" s="2"/>
      <c r="D60" s="2"/>
      <c r="E60" s="2"/>
      <c r="F60" s="2"/>
      <c r="G60" s="2"/>
    </row>
    <row r="61" spans="1:7" x14ac:dyDescent="0.2">
      <c r="A61" s="5"/>
      <c r="B61" s="3"/>
      <c r="C61" s="2"/>
      <c r="D61" s="2"/>
      <c r="E61" s="2"/>
      <c r="F61" s="2"/>
      <c r="G61" s="2"/>
    </row>
    <row r="62" spans="1:7" x14ac:dyDescent="0.2">
      <c r="A62" s="5"/>
      <c r="B62" s="3"/>
      <c r="C62" s="2"/>
      <c r="D62" s="2"/>
      <c r="E62" s="2"/>
      <c r="F62" s="2"/>
      <c r="G62" s="2"/>
    </row>
    <row r="63" spans="1:7" x14ac:dyDescent="0.2">
      <c r="A63" s="4"/>
      <c r="B63" s="3"/>
      <c r="C63" s="2"/>
      <c r="D63" s="2"/>
      <c r="E63" s="2"/>
      <c r="F63" s="2"/>
      <c r="G63" s="2"/>
    </row>
    <row r="64" spans="1:7" x14ac:dyDescent="0.2">
      <c r="A64" s="5"/>
      <c r="B64" s="3"/>
      <c r="C64" s="2"/>
      <c r="D64" s="2"/>
      <c r="E64" s="2"/>
      <c r="F64" s="2"/>
      <c r="G64" s="2"/>
    </row>
    <row r="65" spans="1:7" x14ac:dyDescent="0.2">
      <c r="A65" s="5"/>
      <c r="B65" s="3"/>
      <c r="C65" s="2"/>
      <c r="D65" s="2"/>
      <c r="E65" s="2"/>
      <c r="F65" s="2"/>
      <c r="G65" s="2"/>
    </row>
    <row r="66" spans="1:7" x14ac:dyDescent="0.2">
      <c r="A66" s="5"/>
      <c r="B66" s="3"/>
      <c r="C66" s="2"/>
      <c r="D66" s="2"/>
      <c r="E66" s="2"/>
      <c r="F66" s="2"/>
      <c r="G66" s="2"/>
    </row>
    <row r="67" spans="1:7" x14ac:dyDescent="0.2">
      <c r="A67" s="4"/>
      <c r="B67" s="3"/>
      <c r="C67" s="2"/>
      <c r="D67" s="2"/>
      <c r="E67" s="2"/>
      <c r="F67" s="2"/>
      <c r="G67" s="2"/>
    </row>
    <row r="68" spans="1:7" x14ac:dyDescent="0.2">
      <c r="A68" s="5"/>
      <c r="B68" s="3"/>
      <c r="C68" s="2"/>
      <c r="D68" s="2"/>
      <c r="E68" s="2"/>
      <c r="F68" s="2"/>
      <c r="G68" s="2"/>
    </row>
    <row r="69" spans="1:7" x14ac:dyDescent="0.2">
      <c r="A69" s="5"/>
      <c r="B69" s="3"/>
      <c r="C69" s="2"/>
      <c r="D69" s="2"/>
      <c r="E69" s="2"/>
      <c r="F69" s="2"/>
      <c r="G69" s="2"/>
    </row>
    <row r="70" spans="1:7" x14ac:dyDescent="0.2">
      <c r="A70" s="5"/>
      <c r="B70" s="3"/>
      <c r="C70" s="2"/>
      <c r="D70" s="2"/>
      <c r="E70" s="2"/>
      <c r="F70" s="2"/>
      <c r="G70" s="2"/>
    </row>
    <row r="71" spans="1:7" x14ac:dyDescent="0.2">
      <c r="A71" s="4"/>
      <c r="B71" s="3"/>
      <c r="C71" s="2"/>
      <c r="D71" s="2"/>
      <c r="E71" s="2"/>
      <c r="F71" s="2"/>
      <c r="G71" s="2"/>
    </row>
    <row r="72" spans="1:7" x14ac:dyDescent="0.2">
      <c r="A72" s="5"/>
      <c r="B72" s="3"/>
      <c r="C72" s="2"/>
      <c r="D72" s="2"/>
      <c r="E72" s="2"/>
      <c r="F72" s="2"/>
      <c r="G72" s="2"/>
    </row>
    <row r="73" spans="1:7" x14ac:dyDescent="0.2">
      <c r="A73" s="5"/>
      <c r="B73" s="3"/>
      <c r="C73" s="2"/>
      <c r="D73" s="2"/>
      <c r="E73" s="2"/>
      <c r="F73" s="2"/>
      <c r="G73" s="2"/>
    </row>
    <row r="74" spans="1:7" x14ac:dyDescent="0.2">
      <c r="A74" s="5"/>
      <c r="B74" s="3"/>
      <c r="C74" s="2"/>
      <c r="D74" s="2"/>
      <c r="E74" s="2"/>
      <c r="F74" s="2"/>
      <c r="G74" s="2"/>
    </row>
    <row r="75" spans="1:7" x14ac:dyDescent="0.2">
      <c r="A75" s="4"/>
      <c r="B75" s="3"/>
      <c r="C75" s="2"/>
      <c r="D75" s="2"/>
      <c r="E75" s="2"/>
      <c r="F75" s="2"/>
      <c r="G75" s="2"/>
    </row>
    <row r="76" spans="1:7" x14ac:dyDescent="0.2">
      <c r="A76" s="5"/>
      <c r="B76" s="3"/>
      <c r="C76" s="2"/>
      <c r="D76" s="2"/>
      <c r="E76" s="2"/>
      <c r="F76" s="2"/>
      <c r="G76" s="2"/>
    </row>
    <row r="77" spans="1:7" x14ac:dyDescent="0.2">
      <c r="A77" s="5"/>
      <c r="B77" s="3"/>
      <c r="C77" s="2"/>
      <c r="D77" s="2"/>
      <c r="E77" s="2"/>
      <c r="F77" s="2"/>
      <c r="G77" s="2"/>
    </row>
    <row r="78" spans="1:7" x14ac:dyDescent="0.2">
      <c r="A78" s="4"/>
      <c r="B78" s="3"/>
      <c r="C78" s="2"/>
      <c r="D78" s="2"/>
      <c r="E78" s="2"/>
      <c r="F78" s="2"/>
      <c r="G78" s="2"/>
    </row>
    <row r="79" spans="1:7" x14ac:dyDescent="0.2">
      <c r="A79" s="5"/>
      <c r="B79" s="3"/>
      <c r="C79" s="2"/>
      <c r="D79" s="2"/>
      <c r="E79" s="2"/>
      <c r="F79" s="2"/>
      <c r="G79" s="2"/>
    </row>
    <row r="80" spans="1:7" x14ac:dyDescent="0.2">
      <c r="A80" s="5"/>
      <c r="B80" s="3"/>
      <c r="C80" s="2"/>
      <c r="D80" s="2"/>
      <c r="E80" s="2"/>
      <c r="F80" s="2"/>
      <c r="G80" s="2"/>
    </row>
    <row r="81" spans="1:7" x14ac:dyDescent="0.2">
      <c r="A81" s="5"/>
      <c r="B81" s="3"/>
      <c r="C81" s="2"/>
      <c r="D81" s="2"/>
      <c r="E81" s="2"/>
      <c r="F81" s="2"/>
      <c r="G81" s="2"/>
    </row>
    <row r="82" spans="1:7" x14ac:dyDescent="0.2">
      <c r="A82" s="4"/>
      <c r="B82" s="3"/>
      <c r="C82" s="2"/>
      <c r="D82" s="2"/>
      <c r="E82" s="2"/>
      <c r="F82" s="2"/>
      <c r="G82" s="2"/>
    </row>
    <row r="83" spans="1:7" x14ac:dyDescent="0.2">
      <c r="A83" s="5"/>
      <c r="B83" s="3"/>
      <c r="C83" s="2"/>
      <c r="D83" s="2"/>
      <c r="E83" s="2"/>
      <c r="F83" s="2"/>
      <c r="G83" s="2"/>
    </row>
    <row r="84" spans="1:7" x14ac:dyDescent="0.2">
      <c r="A84" s="5"/>
      <c r="B84" s="3"/>
      <c r="C84" s="2"/>
      <c r="D84" s="2"/>
      <c r="E84" s="2"/>
      <c r="F84" s="2"/>
      <c r="G84" s="2"/>
    </row>
    <row r="85" spans="1:7" x14ac:dyDescent="0.2">
      <c r="A85" s="5"/>
      <c r="B85" s="3"/>
      <c r="C85" s="2"/>
      <c r="D85" s="2"/>
      <c r="E85" s="2"/>
      <c r="F85" s="2"/>
      <c r="G85" s="2"/>
    </row>
    <row r="86" spans="1:7" x14ac:dyDescent="0.2">
      <c r="A86" s="4"/>
      <c r="B86" s="3"/>
      <c r="C86" s="2"/>
      <c r="D86" s="2"/>
      <c r="E86" s="2"/>
      <c r="F86" s="2"/>
      <c r="G86" s="2"/>
    </row>
    <row r="87" spans="1:7" x14ac:dyDescent="0.2">
      <c r="A87" s="5"/>
      <c r="B87" s="3"/>
      <c r="C87" s="2"/>
      <c r="D87" s="2"/>
      <c r="E87" s="2"/>
      <c r="F87" s="2"/>
      <c r="G87" s="2"/>
    </row>
    <row r="88" spans="1:7" x14ac:dyDescent="0.2">
      <c r="A88" s="5"/>
      <c r="B88" s="3"/>
      <c r="C88" s="2"/>
      <c r="D88" s="2"/>
      <c r="E88" s="2"/>
      <c r="F88" s="2"/>
      <c r="G88" s="2"/>
    </row>
    <row r="89" spans="1:7" x14ac:dyDescent="0.2">
      <c r="A89" s="5"/>
      <c r="B89" s="3"/>
      <c r="C89" s="2"/>
      <c r="D89" s="2"/>
      <c r="E89" s="2"/>
      <c r="F89" s="2"/>
      <c r="G89" s="2"/>
    </row>
    <row r="90" spans="1:7" x14ac:dyDescent="0.2">
      <c r="A90" s="4"/>
      <c r="B90" s="3"/>
      <c r="C90" s="2"/>
      <c r="D90" s="2"/>
      <c r="E90" s="2"/>
      <c r="F90" s="2"/>
      <c r="G90" s="2"/>
    </row>
    <row r="91" spans="1:7" x14ac:dyDescent="0.2">
      <c r="A91" s="5"/>
      <c r="B91" s="3"/>
      <c r="C91" s="2"/>
      <c r="D91" s="2"/>
      <c r="E91" s="2"/>
      <c r="F91" s="2"/>
      <c r="G91" s="2"/>
    </row>
    <row r="92" spans="1:7" x14ac:dyDescent="0.2">
      <c r="A92" s="5"/>
      <c r="B92" s="3"/>
      <c r="C92" s="2"/>
      <c r="D92" s="2"/>
      <c r="E92" s="2"/>
      <c r="F92" s="2"/>
      <c r="G92" s="2"/>
    </row>
    <row r="93" spans="1:7" x14ac:dyDescent="0.2">
      <c r="A93" s="4"/>
      <c r="B93" s="3"/>
      <c r="C93" s="2"/>
      <c r="D93" s="2"/>
      <c r="E93" s="2"/>
      <c r="F93" s="2"/>
      <c r="G93" s="2"/>
    </row>
    <row r="94" spans="1:7" x14ac:dyDescent="0.2">
      <c r="A94" s="5"/>
      <c r="B94" s="3"/>
      <c r="C94" s="2"/>
      <c r="D94" s="2"/>
      <c r="E94" s="2"/>
      <c r="F94" s="2"/>
      <c r="G94" s="2"/>
    </row>
    <row r="95" spans="1:7" x14ac:dyDescent="0.2">
      <c r="A95" s="5"/>
      <c r="B95" s="3"/>
      <c r="C95" s="2"/>
      <c r="D95" s="2"/>
      <c r="E95" s="2"/>
      <c r="F95" s="2"/>
      <c r="G95" s="2"/>
    </row>
    <row r="96" spans="1:7" x14ac:dyDescent="0.2">
      <c r="A96" s="5"/>
      <c r="B96" s="3"/>
      <c r="C96" s="2"/>
      <c r="D96" s="2"/>
      <c r="E96" s="2"/>
      <c r="F96" s="2"/>
      <c r="G96" s="2"/>
    </row>
    <row r="97" spans="1:7" x14ac:dyDescent="0.2">
      <c r="A97" s="4"/>
      <c r="B97" s="3"/>
      <c r="C97" s="2"/>
      <c r="D97" s="2"/>
      <c r="E97" s="2"/>
      <c r="F97" s="2"/>
      <c r="G97" s="2"/>
    </row>
    <row r="98" spans="1:7" x14ac:dyDescent="0.2">
      <c r="A98" s="5"/>
      <c r="B98" s="3"/>
      <c r="C98" s="2"/>
      <c r="D98" s="2"/>
      <c r="E98" s="2"/>
      <c r="F98" s="2"/>
      <c r="G98" s="2"/>
    </row>
    <row r="99" spans="1:7" x14ac:dyDescent="0.2">
      <c r="A99" s="5"/>
      <c r="B99" s="3"/>
      <c r="C99" s="2"/>
      <c r="D99" s="2"/>
      <c r="E99" s="2"/>
      <c r="F99" s="2"/>
      <c r="G99" s="2"/>
    </row>
    <row r="100" spans="1:7" x14ac:dyDescent="0.2">
      <c r="A100" s="5"/>
      <c r="B100" s="3"/>
      <c r="C100" s="2"/>
      <c r="D100" s="2"/>
      <c r="E100" s="2"/>
      <c r="F100" s="2"/>
      <c r="G100" s="2"/>
    </row>
    <row r="101" spans="1:7" x14ac:dyDescent="0.2">
      <c r="A101" s="4"/>
      <c r="B101" s="3"/>
      <c r="C101" s="2"/>
      <c r="D101" s="2"/>
      <c r="E101" s="2"/>
      <c r="F101" s="2"/>
      <c r="G101" s="2"/>
    </row>
    <row r="102" spans="1:7" x14ac:dyDescent="0.2">
      <c r="A102" s="5"/>
      <c r="B102" s="3"/>
      <c r="C102" s="2"/>
      <c r="D102" s="2"/>
      <c r="E102" s="2"/>
      <c r="F102" s="2"/>
      <c r="G102" s="2"/>
    </row>
    <row r="103" spans="1:7" x14ac:dyDescent="0.2">
      <c r="A103" s="5"/>
      <c r="B103" s="3"/>
      <c r="C103" s="2"/>
      <c r="D103" s="2"/>
      <c r="E103" s="2"/>
      <c r="F103" s="2"/>
      <c r="G103" s="2"/>
    </row>
    <row r="104" spans="1:7" x14ac:dyDescent="0.2">
      <c r="A104" s="5"/>
      <c r="B104" s="3"/>
      <c r="C104" s="2"/>
      <c r="D104" s="2"/>
      <c r="E104" s="2"/>
      <c r="F104" s="2"/>
      <c r="G104" s="2"/>
    </row>
    <row r="105" spans="1:7" x14ac:dyDescent="0.2">
      <c r="A105" s="4"/>
      <c r="B105" s="3"/>
      <c r="C105" s="2"/>
      <c r="D105" s="2"/>
      <c r="E105" s="2"/>
      <c r="F105" s="2"/>
      <c r="G105" s="2"/>
    </row>
    <row r="106" spans="1:7" x14ac:dyDescent="0.2">
      <c r="A106" s="5"/>
      <c r="B106" s="3"/>
      <c r="C106" s="2"/>
      <c r="D106" s="2"/>
      <c r="E106" s="2"/>
      <c r="F106" s="2"/>
      <c r="G106" s="2"/>
    </row>
    <row r="107" spans="1:7" x14ac:dyDescent="0.2">
      <c r="A107" s="5"/>
      <c r="B107" s="3"/>
      <c r="C107" s="2"/>
      <c r="D107" s="2"/>
      <c r="E107" s="2"/>
      <c r="F107" s="2"/>
      <c r="G107" s="2"/>
    </row>
    <row r="108" spans="1:7" x14ac:dyDescent="0.2">
      <c r="A108" s="4"/>
      <c r="B108" s="3"/>
      <c r="C108" s="2"/>
      <c r="D108" s="2"/>
      <c r="E108" s="2"/>
      <c r="F108" s="2"/>
      <c r="G108" s="2"/>
    </row>
    <row r="109" spans="1:7" x14ac:dyDescent="0.2">
      <c r="A109" s="5"/>
      <c r="B109" s="3"/>
      <c r="C109" s="2"/>
      <c r="D109" s="2"/>
      <c r="E109" s="2"/>
      <c r="F109" s="2"/>
      <c r="G109" s="2"/>
    </row>
    <row r="110" spans="1:7" x14ac:dyDescent="0.2">
      <c r="A110" s="5"/>
      <c r="B110" s="3"/>
      <c r="C110" s="2"/>
      <c r="D110" s="2"/>
      <c r="E110" s="2"/>
      <c r="F110" s="2"/>
      <c r="G110" s="2"/>
    </row>
    <row r="111" spans="1:7" x14ac:dyDescent="0.2">
      <c r="A111" s="5"/>
      <c r="B111" s="3"/>
      <c r="C111" s="2"/>
      <c r="D111" s="2"/>
      <c r="E111" s="2"/>
      <c r="F111" s="2"/>
      <c r="G111" s="2"/>
    </row>
    <row r="112" spans="1:7" x14ac:dyDescent="0.2">
      <c r="A112" s="4"/>
      <c r="B112" s="3"/>
      <c r="C112" s="2"/>
      <c r="D112" s="2"/>
      <c r="E112" s="2"/>
      <c r="F112" s="2"/>
      <c r="G112" s="2"/>
    </row>
    <row r="113" spans="1:7" x14ac:dyDescent="0.2">
      <c r="A113" s="5"/>
      <c r="B113" s="3"/>
      <c r="C113" s="2"/>
      <c r="D113" s="2"/>
      <c r="E113" s="2"/>
      <c r="F113" s="2"/>
      <c r="G113" s="2"/>
    </row>
    <row r="114" spans="1:7" x14ac:dyDescent="0.2">
      <c r="A114" s="5"/>
      <c r="B114" s="3"/>
      <c r="C114" s="2"/>
      <c r="D114" s="2"/>
      <c r="E114" s="2"/>
      <c r="F114" s="2"/>
      <c r="G114" s="2"/>
    </row>
    <row r="115" spans="1:7" x14ac:dyDescent="0.2">
      <c r="A115" s="5"/>
      <c r="B115" s="3"/>
      <c r="C115" s="2"/>
      <c r="D115" s="2"/>
      <c r="E115" s="2"/>
      <c r="F115" s="2"/>
      <c r="G115" s="2"/>
    </row>
    <row r="116" spans="1:7" x14ac:dyDescent="0.2">
      <c r="A116" s="4"/>
      <c r="B116" s="3"/>
      <c r="C116" s="2"/>
      <c r="D116" s="2"/>
      <c r="E116" s="2"/>
      <c r="F116" s="2"/>
      <c r="G116" s="2"/>
    </row>
    <row r="117" spans="1:7" x14ac:dyDescent="0.2">
      <c r="A117" s="5"/>
      <c r="B117" s="3"/>
      <c r="C117" s="2"/>
      <c r="D117" s="2"/>
      <c r="E117" s="2"/>
      <c r="F117" s="2"/>
      <c r="G117" s="2"/>
    </row>
    <row r="118" spans="1:7" x14ac:dyDescent="0.2">
      <c r="A118" s="5"/>
      <c r="B118" s="3"/>
      <c r="C118" s="2"/>
      <c r="D118" s="2"/>
      <c r="E118" s="2"/>
      <c r="F118" s="2"/>
      <c r="G118" s="2"/>
    </row>
    <row r="119" spans="1:7" x14ac:dyDescent="0.2">
      <c r="A119" s="5"/>
      <c r="B119" s="3"/>
      <c r="C119" s="2"/>
      <c r="D119" s="2"/>
      <c r="E119" s="2"/>
      <c r="F119" s="2"/>
      <c r="G119" s="2"/>
    </row>
    <row r="120" spans="1:7" x14ac:dyDescent="0.2">
      <c r="A120" s="4"/>
      <c r="B120" s="3"/>
      <c r="C120" s="2"/>
      <c r="D120" s="2"/>
      <c r="E120" s="2"/>
      <c r="F120" s="2"/>
      <c r="G120" s="2"/>
    </row>
    <row r="121" spans="1:7" x14ac:dyDescent="0.2">
      <c r="A121" s="5"/>
      <c r="B121" s="3"/>
      <c r="C121" s="2"/>
      <c r="D121" s="2"/>
      <c r="E121" s="2"/>
      <c r="F121" s="2"/>
      <c r="G121" s="2"/>
    </row>
    <row r="122" spans="1:7" x14ac:dyDescent="0.2">
      <c r="A122" s="5"/>
      <c r="B122" s="3"/>
      <c r="C122" s="2"/>
      <c r="D122" s="2"/>
      <c r="E122" s="2"/>
      <c r="F122" s="2"/>
      <c r="G122" s="2"/>
    </row>
    <row r="123" spans="1:7" x14ac:dyDescent="0.2">
      <c r="A123" s="4"/>
      <c r="B123" s="3"/>
      <c r="C123" s="2"/>
      <c r="D123" s="2"/>
      <c r="E123" s="2"/>
      <c r="F123" s="2"/>
      <c r="G123" s="2"/>
    </row>
    <row r="124" spans="1:7" x14ac:dyDescent="0.2">
      <c r="A124" s="5"/>
      <c r="B124" s="3"/>
      <c r="C124" s="2"/>
      <c r="D124" s="2"/>
      <c r="E124" s="2"/>
      <c r="F124" s="2"/>
      <c r="G124" s="2"/>
    </row>
    <row r="125" spans="1:7" x14ac:dyDescent="0.2">
      <c r="A125" s="5"/>
      <c r="B125" s="3"/>
      <c r="C125" s="2"/>
      <c r="D125" s="2"/>
      <c r="E125" s="2"/>
      <c r="F125" s="2"/>
      <c r="G125" s="2"/>
    </row>
    <row r="126" spans="1:7" x14ac:dyDescent="0.2">
      <c r="A126" s="5"/>
      <c r="B126" s="3"/>
      <c r="C126" s="2"/>
      <c r="D126" s="2"/>
      <c r="E126" s="2"/>
      <c r="F126" s="2"/>
      <c r="G126" s="2"/>
    </row>
    <row r="127" spans="1:7" x14ac:dyDescent="0.2">
      <c r="A127" s="4"/>
      <c r="B127" s="3"/>
      <c r="C127" s="2"/>
      <c r="D127" s="2"/>
      <c r="E127" s="2"/>
      <c r="F127" s="2"/>
      <c r="G127" s="2"/>
    </row>
    <row r="128" spans="1:7" x14ac:dyDescent="0.2">
      <c r="A128" s="5"/>
      <c r="B128" s="3"/>
      <c r="C128" s="2"/>
      <c r="D128" s="2"/>
      <c r="E128" s="2"/>
      <c r="F128" s="2"/>
      <c r="G128" s="2"/>
    </row>
    <row r="129" spans="1:7" x14ac:dyDescent="0.2">
      <c r="A129" s="5"/>
      <c r="B129" s="3"/>
      <c r="C129" s="2"/>
      <c r="D129" s="2"/>
      <c r="E129" s="2"/>
      <c r="F129" s="2"/>
      <c r="G129" s="2"/>
    </row>
    <row r="130" spans="1:7" x14ac:dyDescent="0.2">
      <c r="A130" s="5"/>
      <c r="B130" s="3"/>
      <c r="C130" s="2"/>
      <c r="D130" s="2"/>
      <c r="E130" s="2"/>
      <c r="F130" s="2"/>
      <c r="G130" s="2"/>
    </row>
    <row r="131" spans="1:7" x14ac:dyDescent="0.2">
      <c r="A131" s="4"/>
      <c r="B131" s="3"/>
      <c r="C131" s="2"/>
      <c r="D131" s="2"/>
      <c r="E131" s="2"/>
      <c r="F131" s="2"/>
      <c r="G131" s="2"/>
    </row>
    <row r="132" spans="1:7" x14ac:dyDescent="0.2">
      <c r="A132" s="5"/>
      <c r="B132" s="3"/>
      <c r="C132" s="2"/>
      <c r="D132" s="2"/>
      <c r="E132" s="2"/>
      <c r="F132" s="2"/>
      <c r="G132" s="2"/>
    </row>
    <row r="133" spans="1:7" x14ac:dyDescent="0.2">
      <c r="A133" s="5"/>
      <c r="B133" s="3"/>
      <c r="C133" s="2"/>
      <c r="D133" s="2"/>
      <c r="E133" s="2"/>
      <c r="F133" s="2"/>
      <c r="G133" s="2"/>
    </row>
    <row r="134" spans="1:7" x14ac:dyDescent="0.2">
      <c r="A134" s="5"/>
      <c r="B134" s="3"/>
      <c r="C134" s="2"/>
      <c r="D134" s="2"/>
      <c r="E134" s="2"/>
      <c r="F134" s="2"/>
      <c r="G134" s="2"/>
    </row>
    <row r="135" spans="1:7" x14ac:dyDescent="0.2">
      <c r="A135" s="4"/>
      <c r="B135" s="3"/>
      <c r="C135" s="2"/>
      <c r="D135" s="2"/>
      <c r="E135" s="2"/>
      <c r="F135" s="2"/>
      <c r="G135" s="2"/>
    </row>
    <row r="136" spans="1:7" x14ac:dyDescent="0.2">
      <c r="A136" s="5"/>
      <c r="B136" s="3"/>
      <c r="C136" s="2"/>
      <c r="D136" s="2"/>
      <c r="E136" s="2"/>
      <c r="F136" s="2"/>
      <c r="G136" s="2"/>
    </row>
    <row r="137" spans="1:7" x14ac:dyDescent="0.2">
      <c r="A137" s="5"/>
      <c r="B137" s="3"/>
      <c r="C137" s="2"/>
      <c r="D137" s="2"/>
      <c r="E137" s="2"/>
      <c r="F137" s="2"/>
      <c r="G137" s="2"/>
    </row>
    <row r="138" spans="1:7" x14ac:dyDescent="0.2">
      <c r="A138" s="4"/>
      <c r="B138" s="3"/>
      <c r="C138" s="2"/>
      <c r="D138" s="2"/>
      <c r="E138" s="2"/>
      <c r="F138" s="2"/>
      <c r="G138" s="2"/>
    </row>
    <row r="139" spans="1:7" x14ac:dyDescent="0.2">
      <c r="A139" s="5"/>
      <c r="B139" s="3"/>
      <c r="C139" s="2"/>
      <c r="D139" s="2"/>
      <c r="E139" s="2"/>
      <c r="F139" s="2"/>
      <c r="G139" s="2"/>
    </row>
    <row r="140" spans="1:7" x14ac:dyDescent="0.2">
      <c r="A140" s="5"/>
      <c r="B140" s="3"/>
      <c r="C140" s="2"/>
      <c r="D140" s="2"/>
      <c r="E140" s="2"/>
      <c r="F140" s="2"/>
      <c r="G140" s="2"/>
    </row>
    <row r="141" spans="1:7" x14ac:dyDescent="0.2">
      <c r="A141" s="5"/>
      <c r="B141" s="3"/>
      <c r="C141" s="2"/>
      <c r="D141" s="2"/>
      <c r="E141" s="2"/>
      <c r="F141" s="2"/>
      <c r="G141" s="2"/>
    </row>
    <row r="142" spans="1:7" x14ac:dyDescent="0.2">
      <c r="A142" s="4"/>
      <c r="B142" s="3"/>
      <c r="C142" s="2"/>
      <c r="D142" s="2"/>
      <c r="E142" s="2"/>
      <c r="F142" s="2"/>
      <c r="G142" s="2"/>
    </row>
    <row r="143" spans="1:7" x14ac:dyDescent="0.2">
      <c r="A143" s="5"/>
      <c r="B143" s="3"/>
      <c r="C143" s="2"/>
      <c r="D143" s="2"/>
      <c r="E143" s="2"/>
      <c r="F143" s="2"/>
      <c r="G143" s="2"/>
    </row>
    <row r="144" spans="1:7" x14ac:dyDescent="0.2">
      <c r="A144" s="5"/>
      <c r="B144" s="3"/>
      <c r="C144" s="2"/>
      <c r="D144" s="2"/>
      <c r="E144" s="2"/>
      <c r="F144" s="2"/>
      <c r="G144" s="2"/>
    </row>
    <row r="145" spans="1:7" x14ac:dyDescent="0.2">
      <c r="A145" s="5"/>
      <c r="B145" s="3"/>
      <c r="C145" s="2"/>
      <c r="D145" s="2"/>
      <c r="E145" s="2"/>
      <c r="F145" s="2"/>
      <c r="G145" s="2"/>
    </row>
    <row r="146" spans="1:7" x14ac:dyDescent="0.2">
      <c r="A146" s="4"/>
      <c r="B146" s="3"/>
      <c r="C146" s="2"/>
      <c r="D146" s="2"/>
      <c r="E146" s="2"/>
      <c r="F146" s="2"/>
      <c r="G146" s="2"/>
    </row>
    <row r="147" spans="1:7" x14ac:dyDescent="0.2">
      <c r="A147" s="5"/>
      <c r="B147" s="3"/>
      <c r="C147" s="2"/>
      <c r="D147" s="2"/>
      <c r="E147" s="2"/>
      <c r="F147" s="2"/>
      <c r="G147" s="2"/>
    </row>
    <row r="148" spans="1:7" x14ac:dyDescent="0.2">
      <c r="A148" s="5"/>
      <c r="B148" s="3"/>
      <c r="C148" s="2"/>
      <c r="D148" s="2"/>
      <c r="E148" s="2"/>
      <c r="F148" s="2"/>
      <c r="G148" s="2"/>
    </row>
    <row r="149" spans="1:7" x14ac:dyDescent="0.2">
      <c r="A149" s="5"/>
      <c r="B149" s="3"/>
      <c r="C149" s="2"/>
      <c r="D149" s="2"/>
      <c r="E149" s="2"/>
      <c r="F149" s="2"/>
      <c r="G149" s="2"/>
    </row>
    <row r="150" spans="1:7" x14ac:dyDescent="0.2">
      <c r="A150" s="4"/>
      <c r="B150" s="3"/>
      <c r="C150" s="2"/>
      <c r="D150" s="2"/>
      <c r="E150" s="2"/>
      <c r="F150" s="2"/>
      <c r="G150" s="2"/>
    </row>
    <row r="151" spans="1:7" x14ac:dyDescent="0.2">
      <c r="A151" s="5"/>
      <c r="B151" s="3"/>
      <c r="C151" s="2"/>
      <c r="D151" s="2"/>
      <c r="E151" s="2"/>
      <c r="F151" s="2"/>
      <c r="G151" s="2"/>
    </row>
    <row r="152" spans="1:7" x14ac:dyDescent="0.2">
      <c r="A152" s="5"/>
      <c r="B152" s="3"/>
      <c r="C152" s="2"/>
      <c r="D152" s="2"/>
      <c r="E152" s="2"/>
      <c r="F152" s="2"/>
      <c r="G152" s="2"/>
    </row>
    <row r="153" spans="1:7" x14ac:dyDescent="0.2">
      <c r="A153" s="4"/>
      <c r="B153" s="3"/>
      <c r="C153" s="2"/>
      <c r="D153" s="2"/>
      <c r="E153" s="2"/>
      <c r="F153" s="2"/>
      <c r="G153" s="2"/>
    </row>
    <row r="154" spans="1:7" x14ac:dyDescent="0.2">
      <c r="A154" s="5"/>
      <c r="B154" s="3"/>
      <c r="C154" s="2"/>
      <c r="D154" s="2"/>
      <c r="E154" s="2"/>
      <c r="F154" s="2"/>
      <c r="G154" s="2"/>
    </row>
    <row r="155" spans="1:7" x14ac:dyDescent="0.2">
      <c r="A155" s="5"/>
      <c r="B155" s="3"/>
      <c r="C155" s="2"/>
      <c r="D155" s="2"/>
      <c r="E155" s="2"/>
      <c r="F155" s="2"/>
      <c r="G155" s="2"/>
    </row>
    <row r="156" spans="1:7" x14ac:dyDescent="0.2">
      <c r="A156" s="5"/>
      <c r="B156" s="3"/>
      <c r="C156" s="2"/>
      <c r="D156" s="2"/>
      <c r="E156" s="2"/>
      <c r="F156" s="2"/>
      <c r="G156" s="2"/>
    </row>
    <row r="157" spans="1:7" x14ac:dyDescent="0.2">
      <c r="A157" s="4"/>
      <c r="B157" s="3"/>
      <c r="C157" s="2"/>
      <c r="D157" s="2"/>
      <c r="E157" s="2"/>
      <c r="F157" s="2"/>
      <c r="G157" s="2"/>
    </row>
    <row r="158" spans="1:7" x14ac:dyDescent="0.2">
      <c r="A158" s="5"/>
      <c r="B158" s="3"/>
      <c r="C158" s="2"/>
      <c r="D158" s="2"/>
      <c r="E158" s="2"/>
      <c r="F158" s="2"/>
      <c r="G158" s="2"/>
    </row>
    <row r="159" spans="1:7" x14ac:dyDescent="0.2">
      <c r="A159" s="5"/>
      <c r="B159" s="3"/>
      <c r="C159" s="2"/>
      <c r="D159" s="2"/>
      <c r="E159" s="2"/>
      <c r="F159" s="2"/>
      <c r="G159" s="2"/>
    </row>
    <row r="160" spans="1:7" x14ac:dyDescent="0.2">
      <c r="A160" s="5"/>
      <c r="B160" s="3"/>
      <c r="C160" s="2"/>
      <c r="D160" s="2"/>
      <c r="E160" s="2"/>
      <c r="F160" s="2"/>
      <c r="G160" s="2"/>
    </row>
    <row r="161" spans="1:7" x14ac:dyDescent="0.2">
      <c r="A161" s="4"/>
      <c r="B161" s="3"/>
      <c r="C161" s="2"/>
      <c r="D161" s="2"/>
      <c r="E161" s="2"/>
      <c r="F161" s="2"/>
      <c r="G161" s="2"/>
    </row>
    <row r="162" spans="1:7" x14ac:dyDescent="0.2">
      <c r="A162" s="5"/>
      <c r="B162" s="3"/>
      <c r="C162" s="2"/>
      <c r="D162" s="2"/>
      <c r="E162" s="2"/>
      <c r="F162" s="2"/>
      <c r="G162" s="2"/>
    </row>
    <row r="163" spans="1:7" x14ac:dyDescent="0.2">
      <c r="A163" s="5"/>
      <c r="B163" s="3"/>
      <c r="C163" s="2"/>
      <c r="D163" s="2"/>
      <c r="E163" s="2"/>
      <c r="F163" s="2"/>
      <c r="G163" s="2"/>
    </row>
    <row r="164" spans="1:7" x14ac:dyDescent="0.2">
      <c r="A164" s="5"/>
      <c r="B164" s="3"/>
      <c r="C164" s="2"/>
      <c r="D164" s="2"/>
      <c r="E164" s="2"/>
      <c r="F164" s="2"/>
      <c r="G164" s="2"/>
    </row>
    <row r="165" spans="1:7" x14ac:dyDescent="0.2">
      <c r="A165" s="4"/>
      <c r="B165" s="3"/>
      <c r="C165" s="2"/>
      <c r="D165" s="2"/>
      <c r="E165" s="2"/>
      <c r="F165" s="2"/>
      <c r="G165" s="2"/>
    </row>
    <row r="166" spans="1:7" x14ac:dyDescent="0.2">
      <c r="A166" s="5"/>
      <c r="B166" s="3"/>
      <c r="C166" s="2"/>
      <c r="D166" s="2"/>
      <c r="E166" s="2"/>
      <c r="F166" s="2"/>
      <c r="G166" s="2"/>
    </row>
    <row r="167" spans="1:7" x14ac:dyDescent="0.2">
      <c r="A167" s="5"/>
      <c r="B167" s="3"/>
      <c r="C167" s="2"/>
      <c r="D167" s="2"/>
      <c r="E167" s="2"/>
      <c r="F167" s="2"/>
      <c r="G167" s="2"/>
    </row>
    <row r="168" spans="1:7" x14ac:dyDescent="0.2">
      <c r="A168" s="4"/>
      <c r="B168" s="3"/>
      <c r="C168" s="2"/>
      <c r="D168" s="2"/>
      <c r="E168" s="2"/>
      <c r="F168" s="2"/>
      <c r="G168" s="2"/>
    </row>
    <row r="169" spans="1:7" x14ac:dyDescent="0.2">
      <c r="A169" s="5"/>
      <c r="B169" s="3"/>
      <c r="C169" s="2"/>
      <c r="D169" s="2"/>
      <c r="E169" s="2"/>
      <c r="F169" s="2"/>
      <c r="G169" s="2"/>
    </row>
    <row r="170" spans="1:7" x14ac:dyDescent="0.2">
      <c r="A170" s="5"/>
      <c r="B170" s="3"/>
      <c r="C170" s="2"/>
      <c r="D170" s="2"/>
      <c r="E170" s="2"/>
      <c r="F170" s="2"/>
      <c r="G170" s="2"/>
    </row>
    <row r="171" spans="1:7" x14ac:dyDescent="0.2">
      <c r="A171" s="5"/>
      <c r="B171" s="3"/>
      <c r="C171" s="2"/>
      <c r="D171" s="2"/>
      <c r="E171" s="2"/>
      <c r="F171" s="2"/>
      <c r="G171" s="2"/>
    </row>
    <row r="172" spans="1:7" x14ac:dyDescent="0.2">
      <c r="A172" s="4"/>
      <c r="B172" s="3"/>
      <c r="C172" s="2"/>
      <c r="D172" s="2"/>
      <c r="E172" s="2"/>
      <c r="F172" s="2"/>
      <c r="G172" s="2"/>
    </row>
    <row r="173" spans="1:7" x14ac:dyDescent="0.2">
      <c r="A173" s="5"/>
      <c r="B173" s="3"/>
      <c r="C173" s="2"/>
      <c r="D173" s="2"/>
      <c r="E173" s="2"/>
      <c r="F173" s="2"/>
      <c r="G173" s="2"/>
    </row>
    <row r="174" spans="1:7" x14ac:dyDescent="0.2">
      <c r="A174" s="5"/>
      <c r="B174" s="3"/>
      <c r="C174" s="2"/>
      <c r="D174" s="2"/>
      <c r="E174" s="2"/>
      <c r="F174" s="2"/>
      <c r="G174" s="2"/>
    </row>
    <row r="175" spans="1:7" x14ac:dyDescent="0.2">
      <c r="A175" s="5"/>
      <c r="B175" s="3"/>
      <c r="C175" s="2"/>
      <c r="D175" s="2"/>
      <c r="E175" s="2"/>
      <c r="F175" s="2"/>
      <c r="G175" s="2"/>
    </row>
    <row r="176" spans="1:7" x14ac:dyDescent="0.2">
      <c r="A176" s="4"/>
      <c r="B176" s="3"/>
      <c r="C176" s="2"/>
      <c r="D176" s="2"/>
      <c r="E176" s="2"/>
      <c r="F176" s="2"/>
      <c r="G176" s="2"/>
    </row>
    <row r="177" spans="1:7" x14ac:dyDescent="0.2">
      <c r="A177" s="5"/>
      <c r="B177" s="3"/>
      <c r="C177" s="2"/>
      <c r="D177" s="2"/>
      <c r="E177" s="2"/>
      <c r="F177" s="2"/>
      <c r="G177" s="2"/>
    </row>
    <row r="178" spans="1:7" x14ac:dyDescent="0.2">
      <c r="A178" s="5"/>
      <c r="B178" s="3"/>
      <c r="C178" s="2"/>
      <c r="D178" s="2"/>
      <c r="E178" s="2"/>
      <c r="F178" s="2"/>
      <c r="G178" s="2"/>
    </row>
    <row r="179" spans="1:7" x14ac:dyDescent="0.2">
      <c r="A179" s="5"/>
      <c r="B179" s="3"/>
      <c r="C179" s="2"/>
      <c r="D179" s="2"/>
      <c r="E179" s="2"/>
      <c r="F179" s="2"/>
      <c r="G179" s="2"/>
    </row>
    <row r="180" spans="1:7" x14ac:dyDescent="0.2">
      <c r="A180" s="4"/>
      <c r="B180" s="3"/>
      <c r="C180" s="2"/>
      <c r="D180" s="2"/>
      <c r="E180" s="2"/>
      <c r="F180" s="2"/>
      <c r="G180" s="2"/>
    </row>
    <row r="181" spans="1:7" x14ac:dyDescent="0.2">
      <c r="A181" s="5"/>
      <c r="B181" s="3"/>
      <c r="C181" s="2"/>
      <c r="D181" s="2"/>
      <c r="E181" s="2"/>
      <c r="F181" s="2"/>
      <c r="G181" s="2"/>
    </row>
    <row r="182" spans="1:7" x14ac:dyDescent="0.2">
      <c r="A182" s="5"/>
      <c r="B182" s="3"/>
      <c r="C182" s="2"/>
      <c r="D182" s="2"/>
      <c r="E182" s="2"/>
      <c r="F182" s="2"/>
      <c r="G182" s="2"/>
    </row>
    <row r="183" spans="1:7" x14ac:dyDescent="0.2">
      <c r="A183" s="4"/>
      <c r="B183" s="3"/>
      <c r="C183" s="2"/>
      <c r="D183" s="2"/>
      <c r="E183" s="2"/>
      <c r="F183" s="2"/>
      <c r="G183" s="2"/>
    </row>
    <row r="184" spans="1:7" x14ac:dyDescent="0.2">
      <c r="A184" s="5"/>
      <c r="B184" s="3"/>
      <c r="C184" s="2"/>
      <c r="D184" s="2"/>
      <c r="E184" s="2"/>
      <c r="F184" s="2"/>
      <c r="G184" s="2"/>
    </row>
    <row r="185" spans="1:7" x14ac:dyDescent="0.2">
      <c r="A185" s="5"/>
      <c r="B185" s="3"/>
      <c r="C185" s="2"/>
      <c r="D185" s="2"/>
      <c r="E185" s="2"/>
      <c r="F185" s="2"/>
      <c r="G185" s="2"/>
    </row>
    <row r="186" spans="1:7" x14ac:dyDescent="0.2">
      <c r="A186" s="5"/>
      <c r="B186" s="3"/>
      <c r="C186" s="2"/>
      <c r="D186" s="2"/>
      <c r="E186" s="2"/>
      <c r="F186" s="2"/>
      <c r="G186" s="2"/>
    </row>
    <row r="187" spans="1:7" x14ac:dyDescent="0.2">
      <c r="A187" s="4"/>
      <c r="B187" s="3"/>
      <c r="C187" s="2"/>
      <c r="D187" s="2"/>
      <c r="E187" s="2"/>
      <c r="F187" s="2"/>
      <c r="G187" s="2"/>
    </row>
    <row r="188" spans="1:7" x14ac:dyDescent="0.2">
      <c r="A188" s="5"/>
      <c r="B188" s="3"/>
      <c r="C188" s="2"/>
      <c r="D188" s="2"/>
      <c r="E188" s="2"/>
      <c r="F188" s="2"/>
      <c r="G188" s="2"/>
    </row>
    <row r="189" spans="1:7" x14ac:dyDescent="0.2">
      <c r="A189" s="5"/>
      <c r="B189" s="3"/>
      <c r="C189" s="2"/>
      <c r="D189" s="2"/>
      <c r="E189" s="2"/>
      <c r="F189" s="2"/>
      <c r="G189" s="2"/>
    </row>
    <row r="190" spans="1:7" x14ac:dyDescent="0.2">
      <c r="A190" s="5"/>
      <c r="B190" s="3"/>
      <c r="C190" s="2"/>
      <c r="D190" s="2"/>
      <c r="E190" s="2"/>
      <c r="F190" s="2"/>
      <c r="G190" s="2"/>
    </row>
    <row r="191" spans="1:7" x14ac:dyDescent="0.2">
      <c r="A191" s="4"/>
      <c r="B191" s="3"/>
      <c r="C191" s="2"/>
      <c r="D191" s="2"/>
      <c r="E191" s="2"/>
      <c r="F191" s="2"/>
      <c r="G191" s="2"/>
    </row>
    <row r="192" spans="1:7" x14ac:dyDescent="0.2">
      <c r="A192" s="5"/>
      <c r="B192" s="3"/>
      <c r="C192" s="2"/>
      <c r="D192" s="2"/>
      <c r="E192" s="2"/>
      <c r="F192" s="2"/>
      <c r="G192" s="2"/>
    </row>
    <row r="193" spans="1:7" x14ac:dyDescent="0.2">
      <c r="A193" s="5"/>
      <c r="B193" s="3"/>
      <c r="C193" s="2"/>
      <c r="D193" s="2"/>
      <c r="E193" s="2"/>
      <c r="F193" s="2"/>
      <c r="G193" s="2"/>
    </row>
    <row r="194" spans="1:7" x14ac:dyDescent="0.2">
      <c r="A194" s="5"/>
      <c r="B194" s="3"/>
      <c r="C194" s="2"/>
      <c r="D194" s="2"/>
      <c r="E194" s="2"/>
      <c r="F194" s="2"/>
      <c r="G194" s="2"/>
    </row>
    <row r="195" spans="1:7" x14ac:dyDescent="0.2">
      <c r="A195" s="4"/>
      <c r="B195" s="3"/>
      <c r="C195" s="2"/>
      <c r="D195" s="2"/>
      <c r="E195" s="2"/>
      <c r="F195" s="2"/>
      <c r="G195" s="2"/>
    </row>
    <row r="196" spans="1:7" x14ac:dyDescent="0.2">
      <c r="A196" s="5"/>
      <c r="B196" s="3"/>
      <c r="C196" s="2"/>
      <c r="D196" s="2"/>
      <c r="E196" s="2"/>
      <c r="F196" s="2"/>
      <c r="G196" s="2"/>
    </row>
    <row r="197" spans="1:7" x14ac:dyDescent="0.2">
      <c r="A197" s="5"/>
      <c r="B197" s="3"/>
      <c r="C197" s="2"/>
      <c r="D197" s="2"/>
      <c r="E197" s="2"/>
      <c r="F197" s="2"/>
      <c r="G197" s="2"/>
    </row>
    <row r="198" spans="1:7" x14ac:dyDescent="0.2">
      <c r="A198" s="4"/>
      <c r="B198" s="3"/>
      <c r="C198" s="2"/>
      <c r="D198" s="2"/>
      <c r="E198" s="2"/>
      <c r="F198" s="2"/>
      <c r="G198" s="2"/>
    </row>
    <row r="199" spans="1:7" x14ac:dyDescent="0.2">
      <c r="A199" s="5"/>
      <c r="B199" s="3"/>
      <c r="C199" s="2"/>
      <c r="D199" s="2"/>
      <c r="E199" s="2"/>
      <c r="F199" s="2"/>
      <c r="G199" s="2"/>
    </row>
    <row r="200" spans="1:7" x14ac:dyDescent="0.2">
      <c r="A200" s="5"/>
      <c r="B200" s="3"/>
      <c r="C200" s="2"/>
      <c r="D200" s="2"/>
      <c r="E200" s="2"/>
      <c r="F200" s="2"/>
      <c r="G200" s="2"/>
    </row>
    <row r="201" spans="1:7" x14ac:dyDescent="0.2">
      <c r="A201" s="5"/>
      <c r="B201" s="3"/>
      <c r="C201" s="2"/>
      <c r="D201" s="2"/>
      <c r="E201" s="2"/>
      <c r="F201" s="2"/>
      <c r="G201" s="2"/>
    </row>
    <row r="202" spans="1:7" x14ac:dyDescent="0.2">
      <c r="A202" s="4"/>
      <c r="B202" s="3"/>
      <c r="C202" s="2"/>
      <c r="D202" s="2"/>
      <c r="E202" s="2"/>
      <c r="F202" s="2"/>
      <c r="G202" s="2"/>
    </row>
    <row r="203" spans="1:7" x14ac:dyDescent="0.2">
      <c r="A203" s="5"/>
      <c r="B203" s="3"/>
      <c r="C203" s="2"/>
      <c r="D203" s="2"/>
      <c r="E203" s="2"/>
      <c r="F203" s="2"/>
      <c r="G203" s="2"/>
    </row>
    <row r="204" spans="1:7" x14ac:dyDescent="0.2">
      <c r="A204" s="5"/>
      <c r="B204" s="3"/>
      <c r="C204" s="2"/>
      <c r="D204" s="2"/>
      <c r="E204" s="2"/>
      <c r="F204" s="2"/>
      <c r="G204" s="2"/>
    </row>
    <row r="205" spans="1:7" x14ac:dyDescent="0.2">
      <c r="A205" s="5"/>
      <c r="B205" s="3"/>
      <c r="C205" s="2"/>
      <c r="D205" s="2"/>
      <c r="E205" s="2"/>
      <c r="F205" s="2"/>
      <c r="G205" s="2"/>
    </row>
    <row r="206" spans="1:7" x14ac:dyDescent="0.2">
      <c r="A206" s="4"/>
      <c r="B206" s="3"/>
      <c r="C206" s="2"/>
      <c r="D206" s="2"/>
      <c r="E206" s="2"/>
      <c r="F206" s="2"/>
      <c r="G206" s="2"/>
    </row>
    <row r="207" spans="1:7" x14ac:dyDescent="0.2">
      <c r="A207" s="5"/>
      <c r="B207" s="3"/>
      <c r="C207" s="2"/>
      <c r="D207" s="2"/>
      <c r="E207" s="2"/>
      <c r="F207" s="2"/>
      <c r="G207" s="2"/>
    </row>
    <row r="208" spans="1:7" x14ac:dyDescent="0.2">
      <c r="A208" s="5"/>
      <c r="B208" s="3"/>
      <c r="C208" s="2"/>
      <c r="D208" s="2"/>
      <c r="E208" s="2"/>
      <c r="F208" s="2"/>
      <c r="G208" s="2"/>
    </row>
    <row r="209" spans="1:7" x14ac:dyDescent="0.2">
      <c r="A209" s="5"/>
      <c r="B209" s="3"/>
      <c r="C209" s="2"/>
      <c r="D209" s="2"/>
      <c r="E209" s="2"/>
      <c r="F209" s="2"/>
      <c r="G209" s="2"/>
    </row>
    <row r="210" spans="1:7" x14ac:dyDescent="0.2">
      <c r="A210" s="4"/>
      <c r="B210" s="3"/>
      <c r="C210" s="2"/>
      <c r="D210" s="2"/>
      <c r="E210" s="2"/>
      <c r="F210" s="2"/>
      <c r="G210" s="2"/>
    </row>
    <row r="211" spans="1:7" x14ac:dyDescent="0.2">
      <c r="A211" s="5"/>
      <c r="B211" s="3"/>
      <c r="C211" s="2"/>
      <c r="D211" s="2"/>
      <c r="E211" s="2"/>
      <c r="F211" s="2"/>
      <c r="G211" s="2"/>
    </row>
    <row r="212" spans="1:7" x14ac:dyDescent="0.2">
      <c r="A212" s="5"/>
      <c r="B212" s="3"/>
      <c r="C212" s="2"/>
      <c r="D212" s="2"/>
      <c r="E212" s="2"/>
      <c r="F212" s="2"/>
      <c r="G212" s="2"/>
    </row>
    <row r="213" spans="1:7" x14ac:dyDescent="0.2">
      <c r="A213" s="4"/>
      <c r="B213" s="3"/>
      <c r="C213" s="2"/>
      <c r="D213" s="2"/>
      <c r="E213" s="2"/>
      <c r="F213" s="2"/>
      <c r="G213" s="2"/>
    </row>
    <row r="214" spans="1:7" x14ac:dyDescent="0.2">
      <c r="A214" s="5"/>
      <c r="B214" s="3"/>
      <c r="C214" s="2"/>
      <c r="D214" s="2"/>
      <c r="E214" s="2"/>
      <c r="F214" s="2"/>
      <c r="G214" s="2"/>
    </row>
    <row r="215" spans="1:7" x14ac:dyDescent="0.2">
      <c r="A215" s="5"/>
      <c r="B215" s="3"/>
      <c r="C215" s="2"/>
      <c r="D215" s="2"/>
      <c r="E215" s="2"/>
      <c r="F215" s="2"/>
      <c r="G215" s="2"/>
    </row>
    <row r="216" spans="1:7" x14ac:dyDescent="0.2">
      <c r="A216" s="5"/>
      <c r="B216" s="3"/>
      <c r="C216" s="2"/>
      <c r="D216" s="2"/>
      <c r="E216" s="2"/>
      <c r="F216" s="2"/>
      <c r="G216" s="2"/>
    </row>
    <row r="217" spans="1:7" x14ac:dyDescent="0.2">
      <c r="A217" s="4"/>
      <c r="B217" s="3"/>
      <c r="C217" s="2"/>
      <c r="D217" s="2"/>
      <c r="E217" s="2"/>
      <c r="F217" s="2"/>
      <c r="G217" s="2"/>
    </row>
    <row r="218" spans="1:7" x14ac:dyDescent="0.2">
      <c r="A218" s="5"/>
      <c r="B218" s="3"/>
      <c r="C218" s="2"/>
      <c r="D218" s="2"/>
      <c r="E218" s="2"/>
      <c r="F218" s="2"/>
      <c r="G218" s="2"/>
    </row>
    <row r="219" spans="1:7" x14ac:dyDescent="0.2">
      <c r="A219" s="5"/>
      <c r="B219" s="3"/>
      <c r="C219" s="2"/>
      <c r="D219" s="2"/>
      <c r="E219" s="2"/>
      <c r="F219" s="2"/>
      <c r="G219" s="2"/>
    </row>
    <row r="220" spans="1:7" x14ac:dyDescent="0.2">
      <c r="A220" s="5"/>
      <c r="B220" s="3"/>
      <c r="C220" s="2"/>
      <c r="D220" s="2"/>
      <c r="E220" s="2"/>
      <c r="F220" s="2"/>
      <c r="G220" s="2"/>
    </row>
    <row r="221" spans="1:7" x14ac:dyDescent="0.2">
      <c r="A221" s="4"/>
      <c r="B221" s="3"/>
      <c r="C221" s="2"/>
      <c r="D221" s="2"/>
      <c r="E221" s="2"/>
      <c r="F221" s="2"/>
      <c r="G221" s="2"/>
    </row>
    <row r="222" spans="1:7" x14ac:dyDescent="0.2">
      <c r="A222" s="5"/>
      <c r="B222" s="3"/>
      <c r="C222" s="2"/>
      <c r="D222" s="2"/>
      <c r="E222" s="2"/>
      <c r="F222" s="2"/>
      <c r="G222" s="2"/>
    </row>
    <row r="223" spans="1:7" x14ac:dyDescent="0.2">
      <c r="A223" s="5"/>
      <c r="B223" s="3"/>
      <c r="C223" s="2"/>
      <c r="D223" s="2"/>
      <c r="E223" s="2"/>
      <c r="F223" s="2"/>
      <c r="G223" s="2"/>
    </row>
    <row r="224" spans="1:7" x14ac:dyDescent="0.2">
      <c r="A224" s="5"/>
      <c r="B224" s="3"/>
      <c r="C224" s="2"/>
      <c r="D224" s="2"/>
      <c r="E224" s="2"/>
      <c r="F224" s="2"/>
      <c r="G224" s="2"/>
    </row>
    <row r="225" spans="1:7" x14ac:dyDescent="0.2">
      <c r="A225" s="4"/>
      <c r="B225" s="3"/>
      <c r="C225" s="2"/>
      <c r="D225" s="2"/>
      <c r="E225" s="2"/>
      <c r="F225" s="2"/>
      <c r="G225" s="2"/>
    </row>
    <row r="226" spans="1:7" x14ac:dyDescent="0.2">
      <c r="A226" s="5"/>
      <c r="B226" s="3"/>
      <c r="C226" s="2"/>
      <c r="D226" s="2"/>
      <c r="E226" s="2"/>
      <c r="F226" s="2"/>
      <c r="G226" s="2"/>
    </row>
    <row r="227" spans="1:7" x14ac:dyDescent="0.2">
      <c r="A227" s="5"/>
      <c r="B227" s="3"/>
      <c r="C227" s="2"/>
      <c r="D227" s="2"/>
      <c r="E227" s="2"/>
      <c r="F227" s="2"/>
      <c r="G227" s="2"/>
    </row>
    <row r="228" spans="1:7" x14ac:dyDescent="0.2">
      <c r="A228" s="4"/>
      <c r="B228" s="3"/>
      <c r="C228" s="2"/>
      <c r="D228" s="2"/>
      <c r="E228" s="2"/>
      <c r="F228" s="2"/>
      <c r="G228" s="2"/>
    </row>
    <row r="229" spans="1:7" x14ac:dyDescent="0.2">
      <c r="A229" s="5"/>
      <c r="B229" s="3"/>
      <c r="C229" s="2"/>
      <c r="D229" s="2"/>
      <c r="E229" s="2"/>
      <c r="F229" s="2"/>
      <c r="G229" s="2"/>
    </row>
    <row r="230" spans="1:7" x14ac:dyDescent="0.2">
      <c r="A230" s="5"/>
      <c r="B230" s="3"/>
      <c r="C230" s="2"/>
      <c r="D230" s="2"/>
      <c r="E230" s="2"/>
      <c r="F230" s="2"/>
      <c r="G230" s="2"/>
    </row>
    <row r="231" spans="1:7" x14ac:dyDescent="0.2">
      <c r="A231" s="5"/>
      <c r="B231" s="3"/>
      <c r="C231" s="2"/>
      <c r="D231" s="2"/>
      <c r="E231" s="2"/>
      <c r="F231" s="2"/>
      <c r="G231" s="2"/>
    </row>
    <row r="232" spans="1:7" x14ac:dyDescent="0.2">
      <c r="A232" s="4"/>
      <c r="B232" s="3"/>
      <c r="C232" s="2"/>
      <c r="D232" s="2"/>
      <c r="E232" s="2"/>
      <c r="F232" s="2"/>
      <c r="G232" s="2"/>
    </row>
    <row r="233" spans="1:7" x14ac:dyDescent="0.2">
      <c r="A233" s="5"/>
      <c r="B233" s="6"/>
      <c r="C233" s="2"/>
      <c r="D233" s="2"/>
      <c r="E233" s="2"/>
      <c r="F233" s="2"/>
      <c r="G233" s="2"/>
    </row>
    <row r="234" spans="1:7" x14ac:dyDescent="0.2">
      <c r="A234" s="5"/>
      <c r="B234" s="6"/>
      <c r="C234" s="2"/>
      <c r="D234" s="2"/>
      <c r="E234" s="2"/>
      <c r="F234" s="2"/>
      <c r="G234" s="2"/>
    </row>
    <row r="235" spans="1:7" x14ac:dyDescent="0.2">
      <c r="A235" s="5"/>
      <c r="B235" s="6"/>
      <c r="C235" s="2"/>
      <c r="D235" s="2"/>
      <c r="E235" s="2"/>
      <c r="F235" s="2"/>
      <c r="G235" s="2"/>
    </row>
    <row r="236" spans="1:7" x14ac:dyDescent="0.2">
      <c r="A236" s="4"/>
      <c r="B236" s="6"/>
      <c r="C236" s="2"/>
      <c r="D236" s="2"/>
      <c r="E236" s="2"/>
      <c r="F236" s="2"/>
      <c r="G236" s="2"/>
    </row>
    <row r="237" spans="1:7" x14ac:dyDescent="0.2">
      <c r="A237" s="5"/>
      <c r="B237" s="6"/>
      <c r="C237" s="2"/>
      <c r="D237" s="2"/>
      <c r="E237" s="2"/>
      <c r="F237" s="2"/>
      <c r="G237" s="2"/>
    </row>
    <row r="238" spans="1:7" x14ac:dyDescent="0.2">
      <c r="A238" s="5"/>
      <c r="B238" s="6"/>
      <c r="C238" s="2"/>
      <c r="D238" s="2"/>
      <c r="E238" s="2"/>
      <c r="F238" s="2"/>
      <c r="G238" s="2"/>
    </row>
    <row r="239" spans="1:7" x14ac:dyDescent="0.2">
      <c r="A239" s="5"/>
      <c r="B239" s="6"/>
      <c r="C239" s="2"/>
      <c r="D239" s="2"/>
      <c r="E239" s="2"/>
      <c r="F239" s="2"/>
      <c r="G239" s="2"/>
    </row>
    <row r="240" spans="1:7" x14ac:dyDescent="0.2">
      <c r="A240" s="4"/>
      <c r="B240" s="6"/>
      <c r="C240" s="2"/>
      <c r="D240" s="2"/>
      <c r="E240" s="2"/>
      <c r="F240" s="2"/>
      <c r="G240" s="2"/>
    </row>
    <row r="241" spans="1:7" x14ac:dyDescent="0.2">
      <c r="A241" s="5"/>
      <c r="B241" s="6"/>
      <c r="C241" s="2"/>
      <c r="D241" s="2"/>
      <c r="E241" s="2"/>
      <c r="F241" s="2"/>
      <c r="G241" s="2"/>
    </row>
    <row r="242" spans="1:7" x14ac:dyDescent="0.2">
      <c r="A242" s="5"/>
      <c r="B242" s="6"/>
      <c r="C242" s="2"/>
      <c r="D242" s="2"/>
      <c r="E242" s="2"/>
      <c r="F242" s="2"/>
      <c r="G242" s="2"/>
    </row>
    <row r="243" spans="1:7" x14ac:dyDescent="0.2">
      <c r="A243" s="4"/>
      <c r="B243" s="6"/>
      <c r="C243" s="2"/>
      <c r="D243" s="2"/>
      <c r="E243" s="2"/>
      <c r="F243" s="2"/>
      <c r="G243" s="2"/>
    </row>
    <row r="244" spans="1:7" x14ac:dyDescent="0.2">
      <c r="A244" s="5"/>
      <c r="B244" s="6"/>
      <c r="C244" s="2"/>
      <c r="D244" s="2"/>
      <c r="E244" s="2"/>
      <c r="F244" s="2"/>
      <c r="G244" s="2"/>
    </row>
    <row r="245" spans="1:7" x14ac:dyDescent="0.2">
      <c r="A245" s="5"/>
      <c r="B245" s="6"/>
      <c r="C245" s="2"/>
      <c r="D245" s="2"/>
      <c r="E245" s="2"/>
      <c r="F245" s="2"/>
      <c r="G245" s="2"/>
    </row>
    <row r="246" spans="1:7" x14ac:dyDescent="0.2">
      <c r="A246" s="5"/>
      <c r="B246" s="6"/>
      <c r="C246" s="2"/>
      <c r="D246" s="2"/>
      <c r="E246" s="2"/>
      <c r="F246" s="2"/>
      <c r="G246" s="2"/>
    </row>
    <row r="247" spans="1:7" x14ac:dyDescent="0.2">
      <c r="A247" s="4"/>
      <c r="B247" s="6"/>
      <c r="C247" s="2"/>
      <c r="D247" s="2"/>
      <c r="E247" s="2"/>
      <c r="F247" s="2"/>
      <c r="G247" s="2"/>
    </row>
    <row r="248" spans="1:7" x14ac:dyDescent="0.2">
      <c r="A248" s="5"/>
      <c r="B248" s="6"/>
      <c r="C248" s="2"/>
      <c r="D248" s="2"/>
      <c r="E248" s="2"/>
      <c r="F248" s="2"/>
      <c r="G248" s="2"/>
    </row>
    <row r="249" spans="1:7" x14ac:dyDescent="0.2">
      <c r="A249" s="5"/>
      <c r="B249" s="6"/>
      <c r="C249" s="2"/>
      <c r="D249" s="2"/>
      <c r="E249" s="2"/>
      <c r="F249" s="2"/>
      <c r="G249" s="2"/>
    </row>
    <row r="250" spans="1:7" x14ac:dyDescent="0.2">
      <c r="A250" s="5"/>
      <c r="B250" s="6"/>
      <c r="C250" s="2"/>
      <c r="D250" s="2"/>
      <c r="E250" s="2"/>
      <c r="F250" s="2"/>
      <c r="G250" s="2"/>
    </row>
    <row r="251" spans="1:7" x14ac:dyDescent="0.2">
      <c r="A251" s="4"/>
      <c r="B251" s="6"/>
      <c r="C251" s="2"/>
      <c r="D251" s="2"/>
      <c r="E251" s="2"/>
      <c r="F251" s="2"/>
      <c r="G251" s="2"/>
    </row>
    <row r="252" spans="1:7" x14ac:dyDescent="0.2">
      <c r="A252" s="5"/>
      <c r="B252" s="6"/>
      <c r="C252" s="2"/>
      <c r="D252" s="2"/>
      <c r="E252" s="2"/>
      <c r="F252" s="2"/>
      <c r="G252" s="2"/>
    </row>
    <row r="253" spans="1:7" x14ac:dyDescent="0.2">
      <c r="A253" s="5"/>
      <c r="B253" s="6"/>
      <c r="C253" s="2"/>
      <c r="D253" s="2"/>
      <c r="E253" s="2"/>
      <c r="F253" s="2"/>
      <c r="G253" s="2"/>
    </row>
    <row r="254" spans="1:7" x14ac:dyDescent="0.2">
      <c r="A254" s="5"/>
      <c r="B254" s="6"/>
      <c r="C254" s="2"/>
      <c r="D254" s="2"/>
      <c r="E254" s="2"/>
      <c r="F254" s="2"/>
      <c r="G254" s="2"/>
    </row>
    <row r="255" spans="1:7" x14ac:dyDescent="0.2">
      <c r="A255" s="4"/>
      <c r="B255" s="6"/>
      <c r="C255" s="2"/>
      <c r="D255" s="2"/>
      <c r="E255" s="2"/>
      <c r="F255" s="2"/>
      <c r="G255" s="2"/>
    </row>
    <row r="256" spans="1:7" x14ac:dyDescent="0.2">
      <c r="A256" s="5"/>
      <c r="B256" s="6"/>
      <c r="C256" s="2"/>
      <c r="D256" s="2"/>
      <c r="E256" s="2"/>
      <c r="F256" s="2"/>
      <c r="G256" s="2"/>
    </row>
    <row r="257" spans="1:7" x14ac:dyDescent="0.2">
      <c r="A257" s="5"/>
      <c r="B257" s="6"/>
      <c r="C257" s="2"/>
      <c r="D257" s="2"/>
      <c r="E257" s="2"/>
      <c r="F257" s="2"/>
      <c r="G257" s="2"/>
    </row>
    <row r="258" spans="1:7" x14ac:dyDescent="0.2">
      <c r="A258" s="4"/>
      <c r="B258" s="6"/>
      <c r="C258" s="2"/>
      <c r="D258" s="2"/>
      <c r="E258" s="2"/>
      <c r="F258" s="2"/>
      <c r="G258" s="2"/>
    </row>
    <row r="259" spans="1:7" x14ac:dyDescent="0.2">
      <c r="A259" s="5"/>
      <c r="B259" s="6"/>
      <c r="C259" s="2"/>
      <c r="D259" s="2"/>
      <c r="E259" s="2"/>
      <c r="F259" s="2"/>
      <c r="G259" s="2"/>
    </row>
    <row r="260" spans="1:7" x14ac:dyDescent="0.2">
      <c r="A260" s="5"/>
      <c r="B260" s="6"/>
      <c r="C260" s="2"/>
      <c r="D260" s="2"/>
      <c r="E260" s="2"/>
      <c r="F260" s="2"/>
      <c r="G260" s="2"/>
    </row>
    <row r="261" spans="1:7" x14ac:dyDescent="0.2">
      <c r="A261" s="5"/>
      <c r="B261" s="6"/>
      <c r="C261" s="2"/>
      <c r="D261" s="2"/>
      <c r="E261" s="2"/>
      <c r="F261" s="2"/>
      <c r="G261" s="2"/>
    </row>
    <row r="262" spans="1:7" x14ac:dyDescent="0.2">
      <c r="A262" s="4"/>
      <c r="B262" s="6"/>
      <c r="C262" s="2"/>
      <c r="D262" s="2"/>
      <c r="E262" s="2"/>
      <c r="F262" s="2"/>
      <c r="G262" s="2"/>
    </row>
    <row r="263" spans="1:7" x14ac:dyDescent="0.2">
      <c r="A263" s="5"/>
      <c r="B263" s="6"/>
      <c r="C263" s="2"/>
      <c r="D263" s="2"/>
      <c r="E263" s="2"/>
      <c r="F263" s="2"/>
      <c r="G263" s="2"/>
    </row>
    <row r="264" spans="1:7" x14ac:dyDescent="0.2">
      <c r="A264" s="5"/>
      <c r="B264" s="6"/>
      <c r="C264" s="2"/>
      <c r="D264" s="2"/>
      <c r="E264" s="2"/>
      <c r="F264" s="2"/>
      <c r="G264" s="2"/>
    </row>
    <row r="265" spans="1:7" x14ac:dyDescent="0.2">
      <c r="A265" s="5"/>
      <c r="B265" s="6"/>
      <c r="C265" s="2"/>
      <c r="D265" s="2"/>
      <c r="E265" s="2"/>
      <c r="F265" s="2"/>
      <c r="G265" s="2"/>
    </row>
    <row r="266" spans="1:7" x14ac:dyDescent="0.2">
      <c r="A266" s="4"/>
      <c r="B266" s="6"/>
      <c r="C266" s="2"/>
      <c r="D266" s="2"/>
      <c r="E266" s="2"/>
      <c r="F266" s="2"/>
      <c r="G266" s="2"/>
    </row>
    <row r="267" spans="1:7" x14ac:dyDescent="0.2">
      <c r="A267" s="5"/>
      <c r="B267" s="6"/>
      <c r="C267" s="2"/>
      <c r="D267" s="2"/>
      <c r="E267" s="2"/>
      <c r="F267" s="2"/>
      <c r="G267" s="2"/>
    </row>
    <row r="268" spans="1:7" x14ac:dyDescent="0.2">
      <c r="A268" s="5"/>
      <c r="B268" s="6"/>
      <c r="C268" s="2"/>
      <c r="D268" s="2"/>
      <c r="E268" s="2"/>
      <c r="F268" s="2"/>
      <c r="G268" s="2"/>
    </row>
    <row r="269" spans="1:7" x14ac:dyDescent="0.2">
      <c r="A269" s="5"/>
      <c r="B269" s="6"/>
      <c r="C269" s="2"/>
      <c r="D269" s="2"/>
      <c r="E269" s="2"/>
      <c r="F269" s="2"/>
      <c r="G269" s="2"/>
    </row>
    <row r="270" spans="1:7" x14ac:dyDescent="0.2">
      <c r="A270" s="4"/>
      <c r="B270" s="6"/>
      <c r="C270" s="2"/>
      <c r="D270" s="2"/>
      <c r="E270" s="2"/>
      <c r="F270" s="2"/>
      <c r="G270" s="2"/>
    </row>
    <row r="271" spans="1:7" x14ac:dyDescent="0.2">
      <c r="A271" s="5"/>
      <c r="B271" s="6"/>
      <c r="C271" s="2"/>
      <c r="D271" s="2"/>
      <c r="E271" s="2"/>
      <c r="F271" s="2"/>
      <c r="G271" s="2"/>
    </row>
    <row r="272" spans="1:7" x14ac:dyDescent="0.2">
      <c r="A272" s="5"/>
      <c r="B272" s="6"/>
      <c r="C272" s="2"/>
      <c r="D272" s="2"/>
      <c r="E272" s="2"/>
      <c r="F272" s="2"/>
      <c r="G272" s="2"/>
    </row>
    <row r="273" spans="1:7" x14ac:dyDescent="0.2">
      <c r="A273" s="4"/>
      <c r="B273" s="6"/>
      <c r="C273" s="2"/>
      <c r="D273" s="2"/>
      <c r="E273" s="2"/>
      <c r="F273" s="2"/>
      <c r="G273" s="2"/>
    </row>
    <row r="274" spans="1:7" x14ac:dyDescent="0.2">
      <c r="A274" s="5"/>
      <c r="B274" s="6"/>
      <c r="C274" s="2"/>
      <c r="D274" s="2"/>
      <c r="E274" s="2"/>
      <c r="F274" s="2"/>
      <c r="G274" s="2"/>
    </row>
    <row r="275" spans="1:7" x14ac:dyDescent="0.2">
      <c r="A275" s="5"/>
      <c r="B275" s="6"/>
      <c r="C275" s="2"/>
      <c r="D275" s="2"/>
      <c r="E275" s="2"/>
      <c r="F275" s="2"/>
      <c r="G275" s="2"/>
    </row>
    <row r="276" spans="1:7" x14ac:dyDescent="0.2">
      <c r="A276" s="5"/>
      <c r="B276" s="6"/>
      <c r="C276" s="2"/>
      <c r="D276" s="2"/>
      <c r="E276" s="2"/>
      <c r="F276" s="2"/>
      <c r="G276" s="2"/>
    </row>
    <row r="277" spans="1:7" x14ac:dyDescent="0.2">
      <c r="A277" s="4"/>
      <c r="B277" s="6"/>
      <c r="C277" s="2"/>
      <c r="D277" s="2"/>
      <c r="E277" s="2"/>
      <c r="F277" s="2"/>
      <c r="G277" s="2"/>
    </row>
    <row r="278" spans="1:7" x14ac:dyDescent="0.2">
      <c r="A278" s="5"/>
      <c r="B278" s="6"/>
      <c r="C278" s="2"/>
      <c r="D278" s="2"/>
      <c r="E278" s="2"/>
      <c r="F278" s="2"/>
      <c r="G278" s="2"/>
    </row>
    <row r="279" spans="1:7" x14ac:dyDescent="0.2">
      <c r="A279" s="5"/>
      <c r="B279" s="6"/>
      <c r="C279" s="2"/>
      <c r="D279" s="2"/>
      <c r="E279" s="2"/>
      <c r="F279" s="2"/>
      <c r="G279" s="2"/>
    </row>
    <row r="280" spans="1:7" x14ac:dyDescent="0.2">
      <c r="A280" s="5"/>
      <c r="B280" s="6"/>
      <c r="C280" s="2"/>
      <c r="D280" s="2"/>
      <c r="E280" s="2"/>
      <c r="F280" s="2"/>
      <c r="G280" s="2"/>
    </row>
    <row r="281" spans="1:7" x14ac:dyDescent="0.2">
      <c r="A281" s="4"/>
      <c r="B281" s="6"/>
      <c r="C281" s="2"/>
      <c r="D281" s="2"/>
      <c r="E281" s="2"/>
      <c r="F281" s="2"/>
      <c r="G281" s="2"/>
    </row>
    <row r="282" spans="1:7" x14ac:dyDescent="0.2">
      <c r="A282" s="5"/>
      <c r="B282" s="6"/>
      <c r="C282" s="2"/>
      <c r="D282" s="2"/>
      <c r="E282" s="2"/>
      <c r="F282" s="2"/>
      <c r="G282" s="2"/>
    </row>
    <row r="283" spans="1:7" x14ac:dyDescent="0.2">
      <c r="A283" s="5"/>
      <c r="B283" s="6"/>
      <c r="C283" s="2"/>
      <c r="D283" s="2"/>
      <c r="E283" s="2"/>
      <c r="F283" s="2"/>
      <c r="G283" s="2"/>
    </row>
    <row r="284" spans="1:7" x14ac:dyDescent="0.2">
      <c r="A284" s="5"/>
      <c r="B284" s="6"/>
      <c r="C284" s="2"/>
      <c r="D284" s="2"/>
      <c r="E284" s="2"/>
      <c r="F284" s="2"/>
      <c r="G284" s="2"/>
    </row>
    <row r="285" spans="1:7" x14ac:dyDescent="0.2">
      <c r="A285" s="4"/>
      <c r="B285" s="6"/>
      <c r="C285" s="2"/>
      <c r="D285" s="2"/>
      <c r="E285" s="2"/>
      <c r="F285" s="2"/>
      <c r="G285" s="2"/>
    </row>
    <row r="286" spans="1:7" x14ac:dyDescent="0.2">
      <c r="A286" s="5"/>
      <c r="B286" s="6"/>
      <c r="C286" s="2"/>
      <c r="D286" s="2"/>
      <c r="E286" s="2"/>
      <c r="F286" s="2"/>
      <c r="G286" s="2"/>
    </row>
    <row r="287" spans="1:7" x14ac:dyDescent="0.2">
      <c r="A287" s="5"/>
      <c r="B287" s="6"/>
      <c r="C287" s="2"/>
      <c r="D287" s="2"/>
      <c r="E287" s="2"/>
      <c r="F287" s="2"/>
      <c r="G287" s="2"/>
    </row>
    <row r="288" spans="1:7" x14ac:dyDescent="0.2">
      <c r="A288" s="4"/>
      <c r="B288" s="6"/>
      <c r="C288" s="2"/>
      <c r="D288" s="2"/>
      <c r="E288" s="2"/>
      <c r="F288" s="2"/>
      <c r="G288" s="2"/>
    </row>
    <row r="289" spans="1:7" x14ac:dyDescent="0.2">
      <c r="A289" s="5"/>
      <c r="B289" s="6"/>
      <c r="C289" s="2"/>
      <c r="D289" s="2"/>
      <c r="E289" s="2"/>
      <c r="F289" s="2"/>
      <c r="G289" s="2"/>
    </row>
    <row r="290" spans="1:7" x14ac:dyDescent="0.2">
      <c r="A290" s="5"/>
      <c r="B290" s="6"/>
      <c r="C290" s="2"/>
      <c r="D290" s="2"/>
      <c r="E290" s="2"/>
      <c r="F290" s="2"/>
      <c r="G290" s="2"/>
    </row>
    <row r="291" spans="1:7" x14ac:dyDescent="0.2">
      <c r="A291" s="5"/>
      <c r="B291" s="6"/>
      <c r="C291" s="2"/>
      <c r="D291" s="2"/>
      <c r="E291" s="2"/>
      <c r="F291" s="2"/>
      <c r="G291" s="2"/>
    </row>
    <row r="292" spans="1:7" x14ac:dyDescent="0.2">
      <c r="A292" s="4"/>
      <c r="B292" s="6"/>
      <c r="C292" s="2"/>
      <c r="D292" s="2"/>
      <c r="E292" s="2"/>
      <c r="F292" s="2"/>
      <c r="G292" s="2"/>
    </row>
    <row r="293" spans="1:7" x14ac:dyDescent="0.2">
      <c r="A293" s="5"/>
      <c r="B293" s="6"/>
      <c r="C293" s="2"/>
      <c r="D293" s="2"/>
      <c r="E293" s="2"/>
      <c r="F293" s="2"/>
      <c r="G293" s="2"/>
    </row>
    <row r="294" spans="1:7" x14ac:dyDescent="0.2">
      <c r="A294" s="5"/>
      <c r="B294" s="6"/>
      <c r="C294" s="2"/>
      <c r="D294" s="2"/>
      <c r="E294" s="2"/>
      <c r="F294" s="2"/>
      <c r="G294" s="2"/>
    </row>
    <row r="295" spans="1:7" x14ac:dyDescent="0.2">
      <c r="A295" s="5"/>
      <c r="B295" s="6"/>
      <c r="C295" s="2"/>
      <c r="D295" s="2"/>
      <c r="E295" s="2"/>
      <c r="F295" s="2"/>
      <c r="G295" s="2"/>
    </row>
    <row r="296" spans="1:7" x14ac:dyDescent="0.2">
      <c r="A296" s="4"/>
      <c r="B296" s="6"/>
      <c r="C296" s="2"/>
      <c r="D296" s="2"/>
      <c r="E296" s="2"/>
      <c r="F296" s="2"/>
      <c r="G296" s="2"/>
    </row>
    <row r="297" spans="1:7" x14ac:dyDescent="0.2">
      <c r="A297" s="5"/>
      <c r="B297" s="6"/>
      <c r="C297" s="2"/>
      <c r="D297" s="2"/>
      <c r="E297" s="2"/>
      <c r="F297" s="2"/>
      <c r="G297" s="2"/>
    </row>
    <row r="298" spans="1:7" x14ac:dyDescent="0.2">
      <c r="A298" s="5"/>
      <c r="B298" s="6"/>
      <c r="C298" s="2"/>
      <c r="D298" s="2"/>
      <c r="E298" s="2"/>
      <c r="F298" s="2"/>
      <c r="G298" s="2"/>
    </row>
    <row r="299" spans="1:7" x14ac:dyDescent="0.2">
      <c r="A299" s="5"/>
      <c r="B299" s="6"/>
      <c r="C299" s="2"/>
      <c r="D299" s="2"/>
      <c r="E299" s="2"/>
      <c r="F299" s="2"/>
      <c r="G299" s="2"/>
    </row>
    <row r="300" spans="1:7" x14ac:dyDescent="0.2">
      <c r="A300" s="4"/>
      <c r="B300" s="6"/>
      <c r="C300" s="2"/>
      <c r="D300" s="2"/>
      <c r="E300" s="2"/>
      <c r="F300" s="2"/>
      <c r="G300" s="2"/>
    </row>
    <row r="301" spans="1:7" x14ac:dyDescent="0.2">
      <c r="A301" s="5"/>
      <c r="B301" s="6"/>
      <c r="C301" s="2"/>
      <c r="D301" s="2"/>
      <c r="E301" s="2"/>
      <c r="F301" s="2"/>
      <c r="G301" s="2"/>
    </row>
    <row r="302" spans="1:7" x14ac:dyDescent="0.2">
      <c r="A302" s="5"/>
      <c r="B302" s="6"/>
      <c r="C302" s="2"/>
      <c r="D302" s="2"/>
      <c r="E302" s="2"/>
      <c r="F302" s="2"/>
      <c r="G302" s="2"/>
    </row>
    <row r="303" spans="1:7" x14ac:dyDescent="0.2">
      <c r="A303" s="4"/>
      <c r="B303" s="6"/>
      <c r="C303" s="2"/>
      <c r="D303" s="2"/>
      <c r="E303" s="2"/>
      <c r="F303" s="2"/>
      <c r="G303" s="2"/>
    </row>
    <row r="304" spans="1:7" x14ac:dyDescent="0.2">
      <c r="A304" s="5"/>
      <c r="B304" s="6"/>
      <c r="C304" s="2"/>
      <c r="D304" s="2"/>
      <c r="E304" s="2"/>
      <c r="F304" s="2"/>
      <c r="G304" s="2"/>
    </row>
    <row r="305" spans="1:7" x14ac:dyDescent="0.2">
      <c r="A305" s="5"/>
      <c r="B305" s="6"/>
      <c r="C305" s="2"/>
      <c r="D305" s="2"/>
      <c r="E305" s="2"/>
      <c r="F305" s="2"/>
      <c r="G305" s="2"/>
    </row>
    <row r="306" spans="1:7" x14ac:dyDescent="0.2">
      <c r="A306" s="5"/>
      <c r="B306" s="6"/>
      <c r="C306" s="2"/>
      <c r="D306" s="2"/>
      <c r="E306" s="2"/>
      <c r="F306" s="2"/>
      <c r="G306" s="2"/>
    </row>
    <row r="307" spans="1:7" x14ac:dyDescent="0.2">
      <c r="A307" s="4"/>
      <c r="B307" s="6"/>
      <c r="C307" s="2"/>
      <c r="D307" s="2"/>
      <c r="E307" s="2"/>
      <c r="F307" s="2"/>
      <c r="G307" s="2"/>
    </row>
    <row r="308" spans="1:7" x14ac:dyDescent="0.2">
      <c r="A308" s="5"/>
      <c r="B308" s="6"/>
      <c r="C308" s="2"/>
      <c r="D308" s="2"/>
      <c r="E308" s="2"/>
      <c r="F308" s="2"/>
      <c r="G308" s="2"/>
    </row>
    <row r="309" spans="1:7" x14ac:dyDescent="0.2">
      <c r="A309" s="5"/>
      <c r="B309" s="6"/>
      <c r="C309" s="2"/>
      <c r="D309" s="2"/>
      <c r="E309" s="2"/>
      <c r="F309" s="2"/>
      <c r="G309" s="2"/>
    </row>
    <row r="310" spans="1:7" x14ac:dyDescent="0.2">
      <c r="A310" s="5"/>
      <c r="B310" s="6"/>
      <c r="C310" s="2"/>
      <c r="D310" s="2"/>
      <c r="E310" s="2"/>
      <c r="F310" s="2"/>
      <c r="G310" s="2"/>
    </row>
    <row r="311" spans="1:7" x14ac:dyDescent="0.2">
      <c r="A311" s="4"/>
      <c r="B311" s="6"/>
      <c r="C311" s="2"/>
      <c r="D311" s="2"/>
      <c r="E311" s="2"/>
      <c r="F311" s="2"/>
      <c r="G311" s="2"/>
    </row>
    <row r="312" spans="1:7" x14ac:dyDescent="0.2">
      <c r="A312" s="5"/>
      <c r="B312" s="6"/>
      <c r="C312" s="2"/>
      <c r="D312" s="2"/>
      <c r="E312" s="2"/>
      <c r="F312" s="2"/>
      <c r="G312" s="2"/>
    </row>
    <row r="313" spans="1:7" x14ac:dyDescent="0.2">
      <c r="A313" s="5"/>
      <c r="B313" s="6"/>
      <c r="C313" s="2"/>
      <c r="D313" s="2"/>
      <c r="E313" s="2"/>
      <c r="F313" s="2"/>
      <c r="G313" s="2"/>
    </row>
    <row r="314" spans="1:7" x14ac:dyDescent="0.2">
      <c r="A314" s="5"/>
      <c r="B314" s="6"/>
      <c r="C314" s="2"/>
      <c r="D314" s="2"/>
      <c r="E314" s="2"/>
      <c r="F314" s="2"/>
      <c r="G314" s="2"/>
    </row>
    <row r="315" spans="1:7" x14ac:dyDescent="0.2">
      <c r="A315" s="4"/>
      <c r="B315" s="6"/>
      <c r="C315" s="2"/>
      <c r="D315" s="2"/>
      <c r="E315" s="2"/>
      <c r="F315" s="2"/>
      <c r="G315" s="2"/>
    </row>
    <row r="316" spans="1:7" x14ac:dyDescent="0.2">
      <c r="A316" s="5"/>
      <c r="B316" s="6"/>
      <c r="C316" s="2"/>
      <c r="D316" s="2"/>
      <c r="E316" s="2"/>
      <c r="F316" s="2"/>
      <c r="G316" s="2"/>
    </row>
    <row r="317" spans="1:7" x14ac:dyDescent="0.2">
      <c r="A317" s="5"/>
      <c r="B317" s="6"/>
      <c r="C317" s="2"/>
      <c r="D317" s="2"/>
      <c r="E317" s="2"/>
      <c r="F317" s="2"/>
      <c r="G317" s="2"/>
    </row>
    <row r="318" spans="1:7" x14ac:dyDescent="0.2">
      <c r="A318" s="4"/>
      <c r="B318" s="6"/>
      <c r="C318" s="2"/>
      <c r="D318" s="2"/>
      <c r="E318" s="2"/>
      <c r="F318" s="2"/>
      <c r="G318" s="2"/>
    </row>
    <row r="319" spans="1:7" x14ac:dyDescent="0.2">
      <c r="A319" s="5"/>
      <c r="B319" s="6"/>
      <c r="C319" s="2"/>
      <c r="D319" s="2"/>
      <c r="E319" s="2"/>
      <c r="F319" s="2"/>
      <c r="G319" s="2"/>
    </row>
    <row r="320" spans="1:7" x14ac:dyDescent="0.2">
      <c r="A320" s="5"/>
      <c r="B320" s="6"/>
      <c r="C320" s="2"/>
      <c r="D320" s="2"/>
      <c r="E320" s="2"/>
      <c r="F320" s="2"/>
      <c r="G320" s="2"/>
    </row>
    <row r="321" spans="1:7" x14ac:dyDescent="0.2">
      <c r="A321" s="5"/>
      <c r="B321" s="6"/>
      <c r="C321" s="2"/>
      <c r="D321" s="2"/>
      <c r="E321" s="2"/>
      <c r="F321" s="2"/>
      <c r="G321" s="2"/>
    </row>
    <row r="322" spans="1:7" x14ac:dyDescent="0.2">
      <c r="A322" s="4"/>
      <c r="B322" s="6"/>
      <c r="C322" s="2"/>
      <c r="D322" s="2"/>
      <c r="E322" s="2"/>
      <c r="F322" s="2"/>
      <c r="G322" s="2"/>
    </row>
    <row r="323" spans="1:7" x14ac:dyDescent="0.2">
      <c r="A323" s="5"/>
      <c r="B323" s="6"/>
      <c r="C323" s="2"/>
      <c r="D323" s="2"/>
      <c r="E323" s="2"/>
      <c r="F323" s="2"/>
      <c r="G323" s="2"/>
    </row>
    <row r="324" spans="1:7" x14ac:dyDescent="0.2">
      <c r="A324" s="5"/>
      <c r="B324" s="6"/>
      <c r="C324" s="2"/>
      <c r="D324" s="2"/>
      <c r="E324" s="2"/>
      <c r="F324" s="2"/>
      <c r="G324" s="2"/>
    </row>
    <row r="325" spans="1:7" x14ac:dyDescent="0.2">
      <c r="A325" s="5"/>
      <c r="B325" s="6"/>
      <c r="C325" s="2"/>
      <c r="D325" s="2"/>
      <c r="E325" s="2"/>
      <c r="F325" s="2"/>
      <c r="G325" s="2"/>
    </row>
    <row r="326" spans="1:7" x14ac:dyDescent="0.2">
      <c r="A326" s="4"/>
      <c r="B326" s="6"/>
      <c r="C326" s="2"/>
      <c r="D326" s="2"/>
      <c r="E326" s="2"/>
      <c r="F326" s="2"/>
      <c r="G326" s="2"/>
    </row>
    <row r="327" spans="1:7" x14ac:dyDescent="0.2">
      <c r="A327" s="5"/>
      <c r="B327" s="6"/>
      <c r="C327" s="2"/>
      <c r="D327" s="2"/>
      <c r="E327" s="2"/>
      <c r="F327" s="2"/>
      <c r="G327" s="2"/>
    </row>
    <row r="328" spans="1:7" x14ac:dyDescent="0.2">
      <c r="A328" s="5"/>
      <c r="B328" s="6"/>
      <c r="C328" s="2"/>
      <c r="D328" s="2"/>
      <c r="E328" s="2"/>
      <c r="F328" s="2"/>
      <c r="G328" s="2"/>
    </row>
    <row r="329" spans="1:7" x14ac:dyDescent="0.2">
      <c r="A329" s="5"/>
      <c r="B329" s="6"/>
      <c r="C329" s="2"/>
      <c r="D329" s="2"/>
      <c r="E329" s="2"/>
      <c r="F329" s="2"/>
      <c r="G329" s="2"/>
    </row>
    <row r="330" spans="1:7" x14ac:dyDescent="0.2">
      <c r="A330" s="4"/>
      <c r="B330" s="6"/>
      <c r="C330" s="2"/>
      <c r="D330" s="2"/>
      <c r="E330" s="2"/>
      <c r="F330" s="2"/>
      <c r="G330" s="2"/>
    </row>
    <row r="331" spans="1:7" x14ac:dyDescent="0.2">
      <c r="A331" s="5"/>
      <c r="B331" s="6"/>
      <c r="C331" s="2"/>
      <c r="D331" s="2"/>
      <c r="E331" s="2"/>
      <c r="F331" s="2"/>
      <c r="G331" s="2"/>
    </row>
    <row r="332" spans="1:7" x14ac:dyDescent="0.2">
      <c r="A332" s="5"/>
      <c r="B332" s="6"/>
      <c r="C332" s="2"/>
      <c r="D332" s="2"/>
      <c r="E332" s="2"/>
      <c r="F332" s="2"/>
      <c r="G332" s="2"/>
    </row>
    <row r="333" spans="1:7" x14ac:dyDescent="0.2">
      <c r="A333" s="4"/>
      <c r="B333" s="6"/>
      <c r="C333" s="2"/>
      <c r="D333" s="2"/>
      <c r="E333" s="2"/>
      <c r="F333" s="2"/>
      <c r="G333" s="2"/>
    </row>
    <row r="334" spans="1:7" x14ac:dyDescent="0.2">
      <c r="A334" s="5"/>
      <c r="B334" s="6"/>
      <c r="C334" s="2"/>
      <c r="D334" s="2"/>
      <c r="E334" s="2"/>
      <c r="F334" s="2"/>
      <c r="G334" s="2"/>
    </row>
    <row r="335" spans="1:7" x14ac:dyDescent="0.2">
      <c r="A335" s="5"/>
      <c r="B335" s="6"/>
      <c r="C335" s="2"/>
      <c r="D335" s="2"/>
      <c r="E335" s="2"/>
      <c r="F335" s="2"/>
      <c r="G335" s="2"/>
    </row>
    <row r="336" spans="1:7" x14ac:dyDescent="0.2">
      <c r="A336" s="5"/>
      <c r="B336" s="6"/>
      <c r="C336" s="2"/>
      <c r="D336" s="2"/>
      <c r="E336" s="2"/>
      <c r="F336" s="2"/>
      <c r="G336" s="2"/>
    </row>
    <row r="337" spans="1:7" x14ac:dyDescent="0.2">
      <c r="A337" s="4"/>
      <c r="B337" s="6"/>
      <c r="C337" s="2"/>
      <c r="D337" s="2"/>
      <c r="E337" s="2"/>
      <c r="F337" s="2"/>
      <c r="G337" s="2"/>
    </row>
    <row r="338" spans="1:7" x14ac:dyDescent="0.2">
      <c r="A338" s="5"/>
      <c r="B338" s="6"/>
      <c r="C338" s="2"/>
      <c r="D338" s="2"/>
      <c r="E338" s="2"/>
      <c r="F338" s="2"/>
      <c r="G338" s="2"/>
    </row>
    <row r="339" spans="1:7" x14ac:dyDescent="0.2">
      <c r="A339" s="5"/>
      <c r="B339" s="6"/>
      <c r="C339" s="2"/>
      <c r="D339" s="2"/>
      <c r="E339" s="2"/>
      <c r="F339" s="2"/>
      <c r="G339" s="2"/>
    </row>
    <row r="340" spans="1:7" x14ac:dyDescent="0.2">
      <c r="A340" s="5"/>
      <c r="B340" s="6"/>
      <c r="C340" s="2"/>
      <c r="D340" s="2"/>
      <c r="E340" s="2"/>
      <c r="F340" s="2"/>
      <c r="G340" s="2"/>
    </row>
    <row r="341" spans="1:7" x14ac:dyDescent="0.2">
      <c r="A341" s="4"/>
      <c r="B341" s="6"/>
      <c r="C341" s="2"/>
      <c r="D341" s="2"/>
      <c r="E341" s="2"/>
      <c r="F341" s="2"/>
      <c r="G341" s="2"/>
    </row>
    <row r="342" spans="1:7" x14ac:dyDescent="0.2">
      <c r="A342" s="5"/>
      <c r="B342" s="6"/>
      <c r="C342" s="2"/>
      <c r="D342" s="2"/>
      <c r="E342" s="2"/>
      <c r="F342" s="2"/>
      <c r="G342" s="2"/>
    </row>
    <row r="343" spans="1:7" x14ac:dyDescent="0.2">
      <c r="A343" s="5"/>
      <c r="B343" s="6"/>
      <c r="C343" s="2"/>
      <c r="D343" s="2"/>
      <c r="E343" s="2"/>
      <c r="F343" s="2"/>
      <c r="G343" s="2"/>
    </row>
    <row r="344" spans="1:7" x14ac:dyDescent="0.2">
      <c r="A344" s="5"/>
      <c r="B344" s="6"/>
      <c r="C344" s="2"/>
      <c r="D344" s="2"/>
      <c r="E344" s="2"/>
      <c r="F344" s="2"/>
      <c r="G344" s="2"/>
    </row>
    <row r="345" spans="1:7" x14ac:dyDescent="0.2">
      <c r="A345" s="4"/>
      <c r="B345" s="6"/>
      <c r="C345" s="2"/>
      <c r="D345" s="2"/>
      <c r="E345" s="2"/>
      <c r="F345" s="2"/>
      <c r="G345" s="2"/>
    </row>
    <row r="346" spans="1:7" x14ac:dyDescent="0.2">
      <c r="A346" s="5"/>
      <c r="B346" s="6"/>
      <c r="C346" s="2"/>
      <c r="D346" s="2"/>
      <c r="E346" s="2"/>
      <c r="F346" s="2"/>
      <c r="G346" s="2"/>
    </row>
    <row r="347" spans="1:7" x14ac:dyDescent="0.2">
      <c r="A347" s="5"/>
      <c r="B347" s="6"/>
      <c r="C347" s="2"/>
      <c r="D347" s="2"/>
      <c r="E347" s="2"/>
      <c r="F347" s="2"/>
      <c r="G347" s="2"/>
    </row>
    <row r="348" spans="1:7" x14ac:dyDescent="0.2">
      <c r="A348" s="4"/>
      <c r="B348" s="6"/>
      <c r="C348" s="2"/>
      <c r="D348" s="2"/>
      <c r="E348" s="2"/>
      <c r="F348" s="2"/>
      <c r="G348" s="2"/>
    </row>
    <row r="349" spans="1:7" x14ac:dyDescent="0.2">
      <c r="A349" s="5"/>
      <c r="B349" s="6"/>
      <c r="C349" s="2"/>
      <c r="D349" s="2"/>
      <c r="E349" s="2"/>
      <c r="F349" s="2"/>
      <c r="G349" s="2"/>
    </row>
    <row r="350" spans="1:7" x14ac:dyDescent="0.2">
      <c r="A350" s="5"/>
      <c r="B350" s="6"/>
      <c r="C350" s="2"/>
      <c r="D350" s="2"/>
      <c r="E350" s="2"/>
      <c r="F350" s="2"/>
      <c r="G350" s="2"/>
    </row>
    <row r="351" spans="1:7" x14ac:dyDescent="0.2">
      <c r="A351" s="5"/>
      <c r="B351" s="6"/>
      <c r="C351" s="2"/>
      <c r="D351" s="2"/>
      <c r="E351" s="2"/>
      <c r="F351" s="2"/>
      <c r="G351" s="2"/>
    </row>
    <row r="352" spans="1:7" x14ac:dyDescent="0.2">
      <c r="A352" s="4"/>
      <c r="B352" s="6"/>
      <c r="C352" s="2"/>
      <c r="D352" s="2"/>
      <c r="E352" s="2"/>
      <c r="F352" s="2"/>
      <c r="G352" s="2"/>
    </row>
    <row r="353" spans="1:7" x14ac:dyDescent="0.2">
      <c r="A353" s="5"/>
      <c r="B353" s="6"/>
      <c r="C353" s="2"/>
      <c r="D353" s="2"/>
      <c r="E353" s="2"/>
      <c r="F353" s="2"/>
      <c r="G353" s="2"/>
    </row>
    <row r="354" spans="1:7" x14ac:dyDescent="0.2">
      <c r="A354" s="5"/>
      <c r="B354" s="6"/>
      <c r="C354" s="2"/>
      <c r="D354" s="2"/>
      <c r="E354" s="2"/>
      <c r="F354" s="2"/>
      <c r="G354" s="2"/>
    </row>
    <row r="355" spans="1:7" x14ac:dyDescent="0.2">
      <c r="A355" s="5"/>
      <c r="B355" s="6"/>
      <c r="C355" s="2"/>
      <c r="D355" s="2"/>
      <c r="E355" s="2"/>
      <c r="F355" s="2"/>
      <c r="G355" s="2"/>
    </row>
    <row r="356" spans="1:7" x14ac:dyDescent="0.2">
      <c r="A356" s="4"/>
      <c r="B356" s="6"/>
      <c r="C356" s="2"/>
      <c r="D356" s="2"/>
      <c r="E356" s="2"/>
      <c r="F356" s="2"/>
      <c r="G356" s="2"/>
    </row>
    <row r="357" spans="1:7" x14ac:dyDescent="0.2">
      <c r="A357" s="5"/>
      <c r="B357" s="6"/>
      <c r="C357" s="2"/>
      <c r="D357" s="2"/>
      <c r="E357" s="2"/>
      <c r="F357" s="2"/>
      <c r="G357" s="2"/>
    </row>
    <row r="358" spans="1:7" x14ac:dyDescent="0.2">
      <c r="A358" s="5"/>
      <c r="B358" s="6"/>
      <c r="C358" s="2"/>
      <c r="D358" s="2"/>
      <c r="E358" s="2"/>
      <c r="F358" s="2"/>
      <c r="G358" s="2"/>
    </row>
    <row r="359" spans="1:7" x14ac:dyDescent="0.2">
      <c r="A359" s="5"/>
      <c r="B359" s="6"/>
      <c r="C359" s="2"/>
      <c r="D359" s="2"/>
      <c r="E359" s="2"/>
      <c r="F359" s="2"/>
      <c r="G359" s="2"/>
    </row>
    <row r="360" spans="1:7" x14ac:dyDescent="0.2">
      <c r="A360" s="4"/>
      <c r="B360" s="6"/>
      <c r="C360" s="2"/>
      <c r="D360" s="2"/>
      <c r="E360" s="2"/>
      <c r="F360" s="2"/>
      <c r="G360" s="2"/>
    </row>
    <row r="361" spans="1:7" x14ac:dyDescent="0.2">
      <c r="A361" s="5"/>
      <c r="B361" s="6"/>
      <c r="C361" s="2"/>
      <c r="D361" s="2"/>
      <c r="E361" s="2"/>
      <c r="F361" s="2"/>
      <c r="G361" s="2"/>
    </row>
    <row r="362" spans="1:7" x14ac:dyDescent="0.2">
      <c r="A362" s="5"/>
      <c r="B362" s="6"/>
      <c r="C362" s="2"/>
      <c r="D362" s="2"/>
      <c r="E362" s="2"/>
      <c r="F362" s="2"/>
      <c r="G362" s="2"/>
    </row>
    <row r="363" spans="1:7" x14ac:dyDescent="0.2">
      <c r="A363" s="4"/>
      <c r="B363" s="6"/>
      <c r="C363" s="2"/>
      <c r="D363" s="2"/>
      <c r="E363" s="2"/>
      <c r="F363" s="2"/>
      <c r="G363" s="2"/>
    </row>
    <row r="364" spans="1:7" x14ac:dyDescent="0.2">
      <c r="A364" s="5"/>
      <c r="B364" s="6"/>
      <c r="C364" s="2"/>
      <c r="D364" s="2"/>
      <c r="E364" s="2"/>
      <c r="F364" s="2"/>
      <c r="G364" s="2"/>
    </row>
    <row r="365" spans="1:7" x14ac:dyDescent="0.2">
      <c r="A365" s="5"/>
      <c r="B365" s="6"/>
      <c r="C365" s="2"/>
      <c r="D365" s="2"/>
      <c r="E365" s="2"/>
      <c r="F365" s="2"/>
      <c r="G365" s="2"/>
    </row>
    <row r="366" spans="1:7" x14ac:dyDescent="0.2">
      <c r="A366" s="5"/>
      <c r="B366" s="6"/>
      <c r="C366" s="2"/>
      <c r="D366" s="2"/>
      <c r="E366" s="2"/>
      <c r="F366" s="2"/>
      <c r="G366" s="2"/>
    </row>
    <row r="367" spans="1:7" x14ac:dyDescent="0.2">
      <c r="A367" s="4"/>
      <c r="B367" s="6"/>
      <c r="C367" s="2"/>
      <c r="D367" s="2"/>
      <c r="E367" s="2"/>
      <c r="F367" s="2"/>
      <c r="G367" s="2"/>
    </row>
    <row r="368" spans="1:7" x14ac:dyDescent="0.2">
      <c r="A368" s="5"/>
      <c r="B368" s="6"/>
      <c r="C368" s="2"/>
      <c r="D368" s="2"/>
      <c r="E368" s="2"/>
      <c r="F368" s="2"/>
      <c r="G368" s="2"/>
    </row>
    <row r="369" spans="1:7" x14ac:dyDescent="0.2">
      <c r="A369" s="5"/>
      <c r="B369" s="6"/>
      <c r="C369" s="2"/>
      <c r="D369" s="2"/>
      <c r="E369" s="2"/>
      <c r="F369" s="2"/>
      <c r="G369" s="2"/>
    </row>
    <row r="370" spans="1:7" x14ac:dyDescent="0.2">
      <c r="A370" s="5"/>
      <c r="B370" s="6"/>
      <c r="C370" s="2"/>
      <c r="D370" s="2"/>
      <c r="E370" s="2"/>
      <c r="F370" s="2"/>
      <c r="G370" s="2"/>
    </row>
    <row r="371" spans="1:7" x14ac:dyDescent="0.2">
      <c r="A371" s="4"/>
      <c r="B371" s="6"/>
      <c r="C371" s="2"/>
      <c r="D371" s="2"/>
      <c r="E371" s="2"/>
      <c r="F371" s="2"/>
      <c r="G371" s="2"/>
    </row>
    <row r="372" spans="1:7" x14ac:dyDescent="0.2">
      <c r="A372" s="5"/>
      <c r="B372" s="6"/>
      <c r="C372" s="2"/>
      <c r="D372" s="2"/>
      <c r="E372" s="2"/>
      <c r="F372" s="2"/>
      <c r="G372" s="2"/>
    </row>
    <row r="373" spans="1:7" x14ac:dyDescent="0.2">
      <c r="A373" s="5"/>
      <c r="B373" s="6"/>
      <c r="C373" s="2"/>
      <c r="D373" s="2"/>
      <c r="E373" s="2"/>
      <c r="F373" s="2"/>
      <c r="G373" s="2"/>
    </row>
    <row r="374" spans="1:7" x14ac:dyDescent="0.2">
      <c r="A374" s="5"/>
      <c r="B374" s="6"/>
      <c r="C374" s="2"/>
      <c r="D374" s="2"/>
      <c r="E374" s="2"/>
      <c r="F374" s="2"/>
      <c r="G374" s="2"/>
    </row>
    <row r="375" spans="1:7" x14ac:dyDescent="0.2">
      <c r="A375" s="4"/>
      <c r="B375" s="6"/>
      <c r="C375" s="2"/>
      <c r="D375" s="2"/>
      <c r="E375" s="2"/>
      <c r="F375" s="2"/>
      <c r="G375" s="2"/>
    </row>
    <row r="376" spans="1:7" x14ac:dyDescent="0.2">
      <c r="A376" s="5"/>
      <c r="B376" s="6"/>
      <c r="C376" s="2"/>
      <c r="D376" s="2"/>
      <c r="E376" s="2"/>
      <c r="F376" s="2"/>
      <c r="G376" s="2"/>
    </row>
    <row r="377" spans="1:7" x14ac:dyDescent="0.2">
      <c r="A377" s="5"/>
      <c r="B377" s="6"/>
      <c r="C377" s="2"/>
      <c r="D377" s="2"/>
      <c r="E377" s="2"/>
      <c r="F377" s="2"/>
      <c r="G377" s="2"/>
    </row>
    <row r="378" spans="1:7" x14ac:dyDescent="0.2">
      <c r="A378" s="4"/>
      <c r="B378" s="6"/>
      <c r="C378" s="2"/>
      <c r="D378" s="2"/>
      <c r="E378" s="2"/>
      <c r="F378" s="2"/>
      <c r="G378" s="2"/>
    </row>
    <row r="379" spans="1:7" x14ac:dyDescent="0.2">
      <c r="A379" s="5"/>
      <c r="B379" s="6"/>
      <c r="C379" s="2"/>
      <c r="D379" s="2"/>
      <c r="E379" s="2"/>
      <c r="F379" s="2"/>
      <c r="G379" s="2"/>
    </row>
    <row r="380" spans="1:7" x14ac:dyDescent="0.2">
      <c r="A380" s="5"/>
      <c r="B380" s="6"/>
      <c r="C380" s="2"/>
      <c r="D380" s="2"/>
      <c r="E380" s="2"/>
      <c r="F380" s="2"/>
      <c r="G380" s="2"/>
    </row>
    <row r="381" spans="1:7" x14ac:dyDescent="0.2">
      <c r="A381" s="5"/>
      <c r="B381" s="6"/>
      <c r="C381" s="2"/>
      <c r="D381" s="2"/>
      <c r="E381" s="2"/>
      <c r="F381" s="2"/>
      <c r="G381" s="2"/>
    </row>
    <row r="382" spans="1:7" x14ac:dyDescent="0.2">
      <c r="A382" s="4"/>
      <c r="B382" s="6"/>
      <c r="C382" s="2"/>
      <c r="D382" s="2"/>
      <c r="E382" s="2"/>
      <c r="F382" s="2"/>
      <c r="G382" s="2"/>
    </row>
    <row r="383" spans="1:7" x14ac:dyDescent="0.2">
      <c r="A383" s="5"/>
      <c r="B383" s="6"/>
      <c r="C383" s="2"/>
      <c r="D383" s="2"/>
      <c r="E383" s="2"/>
      <c r="F383" s="2"/>
      <c r="G383" s="2"/>
    </row>
    <row r="384" spans="1:7" x14ac:dyDescent="0.2">
      <c r="A384" s="5"/>
      <c r="B384" s="6"/>
      <c r="C384" s="2"/>
      <c r="D384" s="2"/>
      <c r="E384" s="2"/>
      <c r="F384" s="2"/>
      <c r="G384" s="2"/>
    </row>
    <row r="385" spans="1:7" x14ac:dyDescent="0.2">
      <c r="A385" s="5"/>
      <c r="B385" s="6"/>
      <c r="C385" s="2"/>
      <c r="D385" s="2"/>
      <c r="E385" s="2"/>
      <c r="F385" s="2"/>
      <c r="G385" s="2"/>
    </row>
    <row r="386" spans="1:7" x14ac:dyDescent="0.2">
      <c r="A386" s="4"/>
      <c r="B386" s="6"/>
      <c r="C386" s="2"/>
      <c r="D386" s="2"/>
      <c r="E386" s="2"/>
      <c r="F386" s="2"/>
      <c r="G386" s="2"/>
    </row>
    <row r="387" spans="1:7" x14ac:dyDescent="0.2">
      <c r="A387" s="5"/>
      <c r="B387" s="6"/>
      <c r="C387" s="2"/>
      <c r="D387" s="2"/>
      <c r="E387" s="2"/>
      <c r="F387" s="2"/>
      <c r="G387" s="2"/>
    </row>
    <row r="388" spans="1:7" x14ac:dyDescent="0.2">
      <c r="A388" s="5"/>
      <c r="B388" s="6"/>
      <c r="C388" s="2"/>
      <c r="D388" s="2"/>
      <c r="E388" s="2"/>
      <c r="F388" s="2"/>
      <c r="G388" s="2"/>
    </row>
    <row r="389" spans="1:7" x14ac:dyDescent="0.2">
      <c r="A389" s="5"/>
      <c r="B389" s="6"/>
      <c r="C389" s="2"/>
      <c r="D389" s="2"/>
      <c r="E389" s="2"/>
      <c r="F389" s="2"/>
      <c r="G389" s="2"/>
    </row>
    <row r="390" spans="1:7" x14ac:dyDescent="0.2">
      <c r="A390" s="4"/>
      <c r="B390" s="6"/>
      <c r="C390" s="2"/>
      <c r="D390" s="2"/>
      <c r="E390" s="2"/>
      <c r="F390" s="2"/>
      <c r="G390" s="2"/>
    </row>
    <row r="391" spans="1:7" x14ac:dyDescent="0.2">
      <c r="A391" s="5"/>
      <c r="B391" s="6"/>
      <c r="C391" s="2"/>
      <c r="D391" s="2"/>
      <c r="E391" s="2"/>
      <c r="F391" s="2"/>
      <c r="G391" s="2"/>
    </row>
    <row r="392" spans="1:7" x14ac:dyDescent="0.2">
      <c r="A392" s="5"/>
      <c r="B392" s="6"/>
      <c r="C392" s="2"/>
      <c r="D392" s="2"/>
      <c r="E392" s="2"/>
      <c r="F392" s="2"/>
      <c r="G392" s="2"/>
    </row>
    <row r="393" spans="1:7" x14ac:dyDescent="0.2">
      <c r="A393" s="4"/>
      <c r="B393" s="6"/>
      <c r="C393" s="2"/>
      <c r="D393" s="2"/>
      <c r="E393" s="2"/>
      <c r="F393" s="2"/>
      <c r="G393" s="2"/>
    </row>
    <row r="394" spans="1:7" x14ac:dyDescent="0.2">
      <c r="A394" s="5"/>
      <c r="B394" s="6"/>
      <c r="C394" s="2"/>
      <c r="D394" s="2"/>
      <c r="E394" s="2"/>
      <c r="F394" s="2"/>
      <c r="G394" s="2"/>
    </row>
    <row r="395" spans="1:7" x14ac:dyDescent="0.2">
      <c r="A395" s="5"/>
      <c r="B395" s="6"/>
      <c r="C395" s="2"/>
      <c r="D395" s="2"/>
      <c r="E395" s="2"/>
      <c r="F395" s="2"/>
      <c r="G395" s="2"/>
    </row>
    <row r="396" spans="1:7" x14ac:dyDescent="0.2">
      <c r="A396" s="5"/>
      <c r="B396" s="6"/>
      <c r="C396" s="2"/>
      <c r="D396" s="2"/>
      <c r="E396" s="2"/>
      <c r="F396" s="2"/>
      <c r="G396" s="2"/>
    </row>
    <row r="397" spans="1:7" x14ac:dyDescent="0.2">
      <c r="A397" s="4"/>
      <c r="B397" s="6"/>
      <c r="C397" s="2"/>
      <c r="D397" s="2"/>
      <c r="E397" s="2"/>
      <c r="F397" s="2"/>
      <c r="G397" s="2"/>
    </row>
    <row r="398" spans="1:7" x14ac:dyDescent="0.2">
      <c r="A398" s="5"/>
      <c r="B398" s="6"/>
      <c r="C398" s="2"/>
      <c r="D398" s="2"/>
      <c r="E398" s="2"/>
      <c r="F398" s="2"/>
      <c r="G398" s="2"/>
    </row>
    <row r="399" spans="1:7" x14ac:dyDescent="0.2">
      <c r="A399" s="5"/>
      <c r="B399" s="6"/>
      <c r="C399" s="2"/>
      <c r="D399" s="2"/>
      <c r="E399" s="2"/>
      <c r="F399" s="2"/>
      <c r="G399" s="2"/>
    </row>
    <row r="400" spans="1:7" x14ac:dyDescent="0.2">
      <c r="A400" s="5"/>
      <c r="B400" s="6"/>
      <c r="C400" s="2"/>
      <c r="D400" s="2"/>
      <c r="E400" s="2"/>
      <c r="F400" s="2"/>
      <c r="G400" s="2"/>
    </row>
    <row r="401" spans="1:7" x14ac:dyDescent="0.2">
      <c r="A401" s="4"/>
      <c r="B401" s="6"/>
      <c r="C401" s="2"/>
      <c r="D401" s="2"/>
      <c r="E401" s="2"/>
      <c r="F401" s="2"/>
      <c r="G401" s="2"/>
    </row>
    <row r="402" spans="1:7" x14ac:dyDescent="0.2">
      <c r="A402" s="5"/>
      <c r="B402" s="6"/>
      <c r="C402" s="2"/>
      <c r="D402" s="2"/>
      <c r="E402" s="2"/>
      <c r="F402" s="2"/>
      <c r="G402" s="2"/>
    </row>
    <row r="403" spans="1:7" x14ac:dyDescent="0.2">
      <c r="A403" s="5"/>
      <c r="B403" s="6"/>
      <c r="C403" s="2"/>
      <c r="D403" s="2"/>
      <c r="E403" s="2"/>
      <c r="F403" s="2"/>
      <c r="G403" s="2"/>
    </row>
    <row r="404" spans="1:7" x14ac:dyDescent="0.2">
      <c r="A404" s="5"/>
      <c r="B404" s="6"/>
      <c r="C404" s="2"/>
      <c r="D404" s="2"/>
      <c r="E404" s="2"/>
      <c r="F404" s="2"/>
      <c r="G404" s="2"/>
    </row>
    <row r="405" spans="1:7" x14ac:dyDescent="0.2">
      <c r="A405" s="4"/>
      <c r="B405" s="6"/>
      <c r="C405" s="2"/>
      <c r="D405" s="2"/>
      <c r="E405" s="2"/>
      <c r="F405" s="2"/>
      <c r="G405" s="2"/>
    </row>
    <row r="406" spans="1:7" x14ac:dyDescent="0.2">
      <c r="A406" s="5"/>
      <c r="B406" s="6"/>
      <c r="C406" s="2"/>
      <c r="D406" s="2"/>
      <c r="E406" s="2"/>
      <c r="F406" s="2"/>
      <c r="G406" s="2"/>
    </row>
    <row r="407" spans="1:7" x14ac:dyDescent="0.2">
      <c r="A407" s="5"/>
      <c r="B407" s="6"/>
      <c r="C407" s="2"/>
      <c r="D407" s="2"/>
      <c r="E407" s="2"/>
      <c r="F407" s="2"/>
      <c r="G407" s="2"/>
    </row>
    <row r="408" spans="1:7" x14ac:dyDescent="0.2">
      <c r="A408" s="4"/>
      <c r="B408" s="6"/>
      <c r="C408" s="2"/>
      <c r="D408" s="2"/>
      <c r="E408" s="2"/>
      <c r="F408" s="2"/>
      <c r="G408" s="2"/>
    </row>
    <row r="409" spans="1:7" x14ac:dyDescent="0.2">
      <c r="A409" s="5"/>
      <c r="B409" s="6"/>
      <c r="C409" s="2"/>
      <c r="D409" s="2"/>
      <c r="E409" s="2"/>
      <c r="F409" s="2"/>
      <c r="G409" s="2"/>
    </row>
    <row r="410" spans="1:7" x14ac:dyDescent="0.2">
      <c r="A410" s="5"/>
      <c r="B410" s="6"/>
      <c r="C410" s="2"/>
      <c r="D410" s="2"/>
      <c r="E410" s="2"/>
      <c r="F410" s="2"/>
      <c r="G410" s="2"/>
    </row>
    <row r="411" spans="1:7" x14ac:dyDescent="0.2">
      <c r="A411" s="5"/>
      <c r="B411" s="6"/>
      <c r="C411" s="2"/>
      <c r="D411" s="2"/>
      <c r="E411" s="2"/>
      <c r="F411" s="2"/>
      <c r="G411" s="2"/>
    </row>
    <row r="412" spans="1:7" x14ac:dyDescent="0.2">
      <c r="A412" s="4"/>
      <c r="B412" s="6"/>
      <c r="C412" s="2"/>
      <c r="D412" s="2"/>
      <c r="E412" s="2"/>
      <c r="F412" s="2"/>
      <c r="G412" s="2"/>
    </row>
    <row r="413" spans="1:7" x14ac:dyDescent="0.2">
      <c r="A413" s="5"/>
      <c r="B413" s="6"/>
      <c r="C413" s="2"/>
      <c r="D413" s="2"/>
      <c r="E413" s="2"/>
      <c r="F413" s="2"/>
      <c r="G413" s="2"/>
    </row>
    <row r="414" spans="1:7" x14ac:dyDescent="0.2">
      <c r="A414" s="5"/>
      <c r="B414" s="6"/>
      <c r="C414" s="2"/>
      <c r="D414" s="2"/>
      <c r="E414" s="2"/>
      <c r="F414" s="2"/>
      <c r="G414" s="2"/>
    </row>
    <row r="415" spans="1:7" x14ac:dyDescent="0.2">
      <c r="A415" s="5"/>
      <c r="B415" s="6"/>
      <c r="C415" s="2"/>
      <c r="D415" s="2"/>
      <c r="E415" s="2"/>
      <c r="F415" s="2"/>
      <c r="G415" s="2"/>
    </row>
    <row r="416" spans="1:7" x14ac:dyDescent="0.2">
      <c r="A416" s="4"/>
      <c r="B416" s="6"/>
      <c r="C416" s="2"/>
      <c r="D416" s="2"/>
      <c r="E416" s="2"/>
      <c r="F416" s="2"/>
      <c r="G416" s="2"/>
    </row>
    <row r="417" spans="1:7" x14ac:dyDescent="0.2">
      <c r="A417" s="5"/>
      <c r="B417" s="6"/>
      <c r="C417" s="2"/>
      <c r="D417" s="2"/>
      <c r="E417" s="2"/>
      <c r="F417" s="2"/>
      <c r="G417" s="2"/>
    </row>
    <row r="418" spans="1:7" x14ac:dyDescent="0.2">
      <c r="A418" s="5"/>
      <c r="B418" s="6"/>
      <c r="C418" s="2"/>
      <c r="D418" s="2"/>
      <c r="E418" s="2"/>
      <c r="F418" s="2"/>
      <c r="G418" s="2"/>
    </row>
    <row r="419" spans="1:7" x14ac:dyDescent="0.2">
      <c r="A419" s="5"/>
      <c r="B419" s="6"/>
      <c r="C419" s="2"/>
      <c r="D419" s="2"/>
      <c r="E419" s="2"/>
      <c r="F419" s="2"/>
      <c r="G419" s="2"/>
    </row>
    <row r="420" spans="1:7" x14ac:dyDescent="0.2">
      <c r="A420" s="4"/>
      <c r="B420" s="6"/>
      <c r="C420" s="2"/>
      <c r="D420" s="2"/>
      <c r="E420" s="2"/>
      <c r="F420" s="2"/>
      <c r="G420" s="2"/>
    </row>
    <row r="421" spans="1:7" x14ac:dyDescent="0.2">
      <c r="A421" s="5"/>
      <c r="B421" s="6"/>
      <c r="C421" s="2"/>
      <c r="D421" s="2"/>
      <c r="E421" s="2"/>
      <c r="F421" s="2"/>
      <c r="G421" s="2"/>
    </row>
    <row r="422" spans="1:7" x14ac:dyDescent="0.2">
      <c r="A422" s="5"/>
      <c r="B422" s="6"/>
      <c r="C422" s="2"/>
      <c r="D422" s="2"/>
      <c r="E422" s="2"/>
      <c r="F422" s="2"/>
      <c r="G422" s="2"/>
    </row>
    <row r="423" spans="1:7" x14ac:dyDescent="0.2">
      <c r="A423" s="4"/>
      <c r="B423" s="6"/>
      <c r="C423" s="2"/>
      <c r="D423" s="2"/>
      <c r="E423" s="2"/>
      <c r="F423" s="2"/>
      <c r="G423" s="2"/>
    </row>
    <row r="424" spans="1:7" x14ac:dyDescent="0.2">
      <c r="A424" s="5"/>
      <c r="B424" s="6"/>
      <c r="C424" s="2"/>
      <c r="D424" s="2"/>
      <c r="E424" s="2"/>
      <c r="F424" s="2"/>
      <c r="G424" s="2"/>
    </row>
    <row r="425" spans="1:7" x14ac:dyDescent="0.2">
      <c r="A425" s="5"/>
      <c r="B425" s="6"/>
      <c r="C425" s="2"/>
      <c r="D425" s="2"/>
      <c r="E425" s="2"/>
      <c r="F425" s="2"/>
      <c r="G425" s="2"/>
    </row>
    <row r="426" spans="1:7" x14ac:dyDescent="0.2">
      <c r="A426" s="5"/>
      <c r="B426" s="6"/>
      <c r="C426" s="2"/>
      <c r="D426" s="2"/>
      <c r="E426" s="2"/>
      <c r="F426" s="2"/>
      <c r="G426" s="2"/>
    </row>
    <row r="427" spans="1:7" x14ac:dyDescent="0.2">
      <c r="A427" s="4"/>
      <c r="B427" s="6"/>
      <c r="C427" s="2"/>
      <c r="D427" s="2"/>
      <c r="E427" s="2"/>
      <c r="F427" s="2"/>
      <c r="G427" s="2"/>
    </row>
    <row r="428" spans="1:7" x14ac:dyDescent="0.2">
      <c r="A428" s="5"/>
      <c r="B428" s="6"/>
      <c r="C428" s="2"/>
      <c r="D428" s="2"/>
      <c r="E428" s="2"/>
      <c r="F428" s="2"/>
      <c r="G428" s="2"/>
    </row>
    <row r="429" spans="1:7" x14ac:dyDescent="0.2">
      <c r="A429" s="5"/>
      <c r="B429" s="6"/>
      <c r="C429" s="2"/>
      <c r="D429" s="2"/>
      <c r="E429" s="2"/>
      <c r="F429" s="2"/>
      <c r="G429" s="2"/>
    </row>
    <row r="430" spans="1:7" x14ac:dyDescent="0.2">
      <c r="A430" s="5"/>
      <c r="B430" s="6"/>
      <c r="C430" s="2"/>
      <c r="D430" s="2"/>
      <c r="E430" s="2"/>
      <c r="F430" s="2"/>
      <c r="G430" s="2"/>
    </row>
    <row r="431" spans="1:7" x14ac:dyDescent="0.2">
      <c r="A431" s="4"/>
      <c r="B431" s="6"/>
      <c r="C431" s="2"/>
      <c r="D431" s="2"/>
      <c r="E431" s="2"/>
      <c r="F431" s="2"/>
      <c r="G431" s="2"/>
    </row>
    <row r="432" spans="1:7" x14ac:dyDescent="0.2">
      <c r="A432" s="5"/>
      <c r="B432" s="6"/>
      <c r="C432" s="2"/>
      <c r="D432" s="2"/>
      <c r="E432" s="2"/>
      <c r="F432" s="2"/>
      <c r="G432" s="2"/>
    </row>
    <row r="433" spans="1:7" x14ac:dyDescent="0.2">
      <c r="A433" s="5"/>
      <c r="B433" s="6"/>
      <c r="C433" s="2"/>
      <c r="D433" s="2"/>
      <c r="E433" s="2"/>
      <c r="F433" s="2"/>
      <c r="G433" s="2"/>
    </row>
    <row r="434" spans="1:7" x14ac:dyDescent="0.2">
      <c r="A434" s="5"/>
      <c r="B434" s="6"/>
      <c r="C434" s="2"/>
      <c r="D434" s="2"/>
      <c r="E434" s="2"/>
      <c r="F434" s="2"/>
      <c r="G434" s="2"/>
    </row>
    <row r="435" spans="1:7" x14ac:dyDescent="0.2">
      <c r="A435" s="4"/>
      <c r="B435" s="6"/>
      <c r="C435" s="2"/>
      <c r="D435" s="2"/>
      <c r="E435" s="2"/>
      <c r="F435" s="2"/>
      <c r="G435" s="2"/>
    </row>
    <row r="436" spans="1:7" x14ac:dyDescent="0.2">
      <c r="A436" s="5"/>
      <c r="B436" s="6"/>
      <c r="C436" s="2"/>
      <c r="D436" s="2"/>
      <c r="E436" s="2"/>
      <c r="F436" s="2"/>
      <c r="G436" s="2"/>
    </row>
    <row r="437" spans="1:7" x14ac:dyDescent="0.2">
      <c r="A437" s="5"/>
      <c r="B437" s="6"/>
      <c r="C437" s="2"/>
      <c r="D437" s="2"/>
      <c r="E437" s="2"/>
      <c r="F437" s="2"/>
      <c r="G437" s="2"/>
    </row>
    <row r="438" spans="1:7" x14ac:dyDescent="0.2">
      <c r="A438" s="4"/>
      <c r="B438" s="6"/>
      <c r="C438" s="2"/>
      <c r="D438" s="2"/>
      <c r="E438" s="2"/>
      <c r="F438" s="2"/>
      <c r="G438" s="2"/>
    </row>
    <row r="439" spans="1:7" x14ac:dyDescent="0.2">
      <c r="A439" s="5"/>
      <c r="B439" s="6"/>
      <c r="C439" s="2"/>
      <c r="D439" s="2"/>
      <c r="E439" s="2"/>
      <c r="F439" s="2"/>
      <c r="G439" s="2"/>
    </row>
    <row r="440" spans="1:7" x14ac:dyDescent="0.2">
      <c r="A440" s="5"/>
      <c r="B440" s="6"/>
      <c r="C440" s="2"/>
      <c r="D440" s="2"/>
      <c r="E440" s="2"/>
      <c r="F440" s="2"/>
      <c r="G440" s="2"/>
    </row>
    <row r="441" spans="1:7" x14ac:dyDescent="0.2">
      <c r="A441" s="5"/>
      <c r="B441" s="6"/>
      <c r="C441" s="2"/>
      <c r="D441" s="2"/>
      <c r="E441" s="2"/>
      <c r="F441" s="2"/>
      <c r="G441" s="2"/>
    </row>
    <row r="442" spans="1:7" x14ac:dyDescent="0.2">
      <c r="A442" s="4"/>
      <c r="B442" s="6"/>
      <c r="C442" s="2"/>
      <c r="D442" s="2"/>
      <c r="E442" s="2"/>
      <c r="F442" s="2"/>
      <c r="G442" s="2"/>
    </row>
    <row r="443" spans="1:7" x14ac:dyDescent="0.2">
      <c r="A443" s="5"/>
      <c r="B443" s="6"/>
      <c r="C443" s="2"/>
      <c r="D443" s="2"/>
      <c r="E443" s="2"/>
      <c r="F443" s="2"/>
      <c r="G443" s="2"/>
    </row>
    <row r="444" spans="1:7" x14ac:dyDescent="0.2">
      <c r="A444" s="5"/>
      <c r="B444" s="6"/>
      <c r="C444" s="2"/>
      <c r="D444" s="2"/>
      <c r="E444" s="2"/>
      <c r="F444" s="2"/>
      <c r="G444" s="2"/>
    </row>
    <row r="445" spans="1:7" x14ac:dyDescent="0.2">
      <c r="A445" s="5"/>
      <c r="B445" s="6"/>
      <c r="C445" s="2"/>
      <c r="D445" s="2"/>
      <c r="E445" s="2"/>
      <c r="F445" s="2"/>
      <c r="G445" s="2"/>
    </row>
    <row r="446" spans="1:7" x14ac:dyDescent="0.2">
      <c r="A446" s="4"/>
      <c r="B446" s="6"/>
      <c r="C446" s="2"/>
      <c r="D446" s="2"/>
      <c r="E446" s="2"/>
      <c r="F446" s="2"/>
      <c r="G446" s="2"/>
    </row>
    <row r="447" spans="1:7" x14ac:dyDescent="0.2">
      <c r="A447" s="5"/>
      <c r="B447" s="6"/>
      <c r="C447" s="2"/>
      <c r="D447" s="2"/>
      <c r="E447" s="2"/>
      <c r="F447" s="2"/>
      <c r="G447" s="2"/>
    </row>
    <row r="448" spans="1:7" x14ac:dyDescent="0.2">
      <c r="A448" s="5"/>
      <c r="B448" s="6"/>
      <c r="C448" s="2"/>
      <c r="D448" s="2"/>
      <c r="E448" s="2"/>
      <c r="F448" s="2"/>
      <c r="G448" s="2"/>
    </row>
    <row r="449" spans="1:7" x14ac:dyDescent="0.2">
      <c r="A449" s="5"/>
      <c r="B449" s="6"/>
      <c r="C449" s="2"/>
      <c r="D449" s="2"/>
      <c r="E449" s="2"/>
      <c r="F449" s="2"/>
      <c r="G449" s="2"/>
    </row>
    <row r="450" spans="1:7" x14ac:dyDescent="0.2">
      <c r="A450" s="4"/>
      <c r="B450" s="6"/>
      <c r="C450" s="2"/>
      <c r="D450" s="2"/>
      <c r="E450" s="2"/>
      <c r="F450" s="2"/>
      <c r="G450" s="2"/>
    </row>
    <row r="451" spans="1:7" x14ac:dyDescent="0.2">
      <c r="A451" s="5"/>
      <c r="B451" s="6"/>
      <c r="C451" s="2"/>
      <c r="D451" s="2"/>
      <c r="E451" s="2"/>
      <c r="F451" s="2"/>
      <c r="G451" s="2"/>
    </row>
    <row r="452" spans="1:7" x14ac:dyDescent="0.2">
      <c r="A452" s="5"/>
      <c r="B452" s="6"/>
      <c r="C452" s="2"/>
      <c r="D452" s="2"/>
      <c r="E452" s="2"/>
      <c r="F452" s="2"/>
      <c r="G452" s="2"/>
    </row>
    <row r="453" spans="1:7" x14ac:dyDescent="0.2">
      <c r="A453" s="4"/>
      <c r="B453" s="6"/>
      <c r="C453" s="2"/>
      <c r="D453" s="2"/>
      <c r="E453" s="2"/>
      <c r="F453" s="2"/>
      <c r="G453" s="2"/>
    </row>
    <row r="454" spans="1:7" x14ac:dyDescent="0.2">
      <c r="A454" s="5"/>
      <c r="B454" s="6"/>
      <c r="C454" s="2"/>
      <c r="D454" s="2"/>
      <c r="E454" s="2"/>
      <c r="F454" s="2"/>
      <c r="G454" s="2"/>
    </row>
    <row r="455" spans="1:7" x14ac:dyDescent="0.2">
      <c r="A455" s="5"/>
      <c r="B455" s="6"/>
      <c r="C455" s="2"/>
      <c r="D455" s="2"/>
      <c r="E455" s="2"/>
      <c r="F455" s="2"/>
      <c r="G455" s="2"/>
    </row>
    <row r="456" spans="1:7" x14ac:dyDescent="0.2">
      <c r="A456" s="5"/>
      <c r="B456" s="6"/>
      <c r="C456" s="2"/>
      <c r="D456" s="2"/>
      <c r="E456" s="2"/>
      <c r="F456" s="2"/>
      <c r="G456" s="2"/>
    </row>
    <row r="457" spans="1:7" x14ac:dyDescent="0.2">
      <c r="A457" s="4"/>
      <c r="B457" s="6"/>
      <c r="C457" s="2"/>
      <c r="D457" s="2"/>
      <c r="E457" s="2"/>
      <c r="F457" s="2"/>
      <c r="G457" s="2"/>
    </row>
    <row r="458" spans="1:7" x14ac:dyDescent="0.2">
      <c r="A458" s="5"/>
      <c r="B458" s="6"/>
      <c r="C458" s="2"/>
      <c r="D458" s="2"/>
      <c r="E458" s="2"/>
      <c r="F458" s="2"/>
      <c r="G458" s="2"/>
    </row>
    <row r="459" spans="1:7" x14ac:dyDescent="0.2">
      <c r="A459" s="5"/>
      <c r="B459" s="6"/>
      <c r="C459" s="2"/>
      <c r="D459" s="2"/>
      <c r="E459" s="2"/>
      <c r="F459" s="2"/>
      <c r="G459" s="2"/>
    </row>
    <row r="460" spans="1:7" x14ac:dyDescent="0.2">
      <c r="A460" s="5"/>
      <c r="B460" s="6"/>
      <c r="C460" s="2"/>
      <c r="D460" s="2"/>
      <c r="E460" s="2"/>
      <c r="F460" s="2"/>
      <c r="G460" s="2"/>
    </row>
    <row r="461" spans="1:7" x14ac:dyDescent="0.2">
      <c r="A461" s="4"/>
      <c r="B461" s="6"/>
      <c r="C461" s="2"/>
      <c r="D461" s="2"/>
      <c r="E461" s="2"/>
      <c r="F461" s="2"/>
      <c r="G461" s="2"/>
    </row>
    <row r="462" spans="1:7" x14ac:dyDescent="0.2">
      <c r="A462" s="5"/>
      <c r="B462" s="6"/>
      <c r="C462" s="2"/>
      <c r="D462" s="2"/>
      <c r="E462" s="2"/>
      <c r="F462" s="2"/>
      <c r="G462" s="2"/>
    </row>
    <row r="463" spans="1:7" x14ac:dyDescent="0.2">
      <c r="A463" s="5"/>
      <c r="B463" s="6"/>
      <c r="C463" s="2"/>
      <c r="D463" s="2"/>
      <c r="E463" s="2"/>
      <c r="F463" s="2"/>
      <c r="G463" s="2"/>
    </row>
    <row r="464" spans="1:7" x14ac:dyDescent="0.2">
      <c r="A464" s="5"/>
      <c r="B464" s="6"/>
      <c r="C464" s="2"/>
      <c r="D464" s="2"/>
      <c r="E464" s="2"/>
      <c r="F464" s="2"/>
      <c r="G464" s="2"/>
    </row>
    <row r="465" spans="1:7" x14ac:dyDescent="0.2">
      <c r="A465" s="4"/>
      <c r="B465" s="6"/>
      <c r="C465" s="2"/>
      <c r="D465" s="2"/>
      <c r="E465" s="2"/>
      <c r="F465" s="2"/>
      <c r="G465" s="2"/>
    </row>
    <row r="466" spans="1:7" x14ac:dyDescent="0.2">
      <c r="A466" s="5"/>
      <c r="B466" s="6"/>
      <c r="C466" s="2"/>
      <c r="D466" s="2"/>
      <c r="E466" s="2"/>
      <c r="F466" s="2"/>
      <c r="G466" s="2"/>
    </row>
    <row r="467" spans="1:7" x14ac:dyDescent="0.2">
      <c r="A467" s="5"/>
      <c r="B467" s="6"/>
      <c r="C467" s="2"/>
      <c r="D467" s="2"/>
      <c r="E467" s="2"/>
      <c r="F467" s="2"/>
      <c r="G467" s="2"/>
    </row>
    <row r="468" spans="1:7" x14ac:dyDescent="0.2">
      <c r="A468" s="4"/>
      <c r="B468" s="6"/>
      <c r="C468" s="2"/>
      <c r="D468" s="2"/>
      <c r="E468" s="2"/>
      <c r="F468" s="2"/>
      <c r="G468" s="2"/>
    </row>
    <row r="469" spans="1:7" x14ac:dyDescent="0.2">
      <c r="A469" s="5"/>
      <c r="B469" s="6"/>
      <c r="C469" s="2"/>
      <c r="D469" s="2"/>
      <c r="E469" s="2"/>
      <c r="F469" s="2"/>
      <c r="G469" s="2"/>
    </row>
    <row r="470" spans="1:7" x14ac:dyDescent="0.2">
      <c r="A470" s="5"/>
      <c r="B470" s="6"/>
      <c r="C470" s="2"/>
      <c r="D470" s="2"/>
      <c r="E470" s="2"/>
      <c r="F470" s="2"/>
      <c r="G470" s="2"/>
    </row>
    <row r="471" spans="1:7" x14ac:dyDescent="0.2">
      <c r="A471" s="5"/>
      <c r="B471" s="6"/>
      <c r="C471" s="2"/>
      <c r="D471" s="2"/>
      <c r="E471" s="2"/>
      <c r="F471" s="2"/>
      <c r="G471" s="2"/>
    </row>
    <row r="472" spans="1:7" x14ac:dyDescent="0.2">
      <c r="A472" s="4"/>
      <c r="B472" s="6"/>
      <c r="C472" s="2"/>
      <c r="D472" s="2"/>
      <c r="E472" s="2"/>
      <c r="F472" s="2"/>
      <c r="G472" s="2"/>
    </row>
    <row r="473" spans="1:7" x14ac:dyDescent="0.2">
      <c r="A473" s="5"/>
      <c r="B473" s="6"/>
      <c r="C473" s="2"/>
      <c r="D473" s="2"/>
      <c r="E473" s="2"/>
      <c r="F473" s="2"/>
      <c r="G473" s="2"/>
    </row>
    <row r="474" spans="1:7" x14ac:dyDescent="0.2">
      <c r="A474" s="5"/>
      <c r="B474" s="6"/>
      <c r="C474" s="2"/>
      <c r="D474" s="2"/>
      <c r="E474" s="2"/>
      <c r="F474" s="2"/>
      <c r="G474" s="2"/>
    </row>
    <row r="475" spans="1:7" x14ac:dyDescent="0.2">
      <c r="A475" s="5"/>
      <c r="B475" s="6"/>
      <c r="C475" s="2"/>
      <c r="D475" s="2"/>
      <c r="E475" s="2"/>
      <c r="F475" s="2"/>
      <c r="G475" s="2"/>
    </row>
    <row r="476" spans="1:7" x14ac:dyDescent="0.2">
      <c r="A476" s="4"/>
      <c r="B476" s="6"/>
      <c r="C476" s="2"/>
      <c r="D476" s="2"/>
      <c r="E476" s="2"/>
      <c r="F476" s="2"/>
      <c r="G476" s="2"/>
    </row>
    <row r="477" spans="1:7" x14ac:dyDescent="0.2">
      <c r="A477" s="5"/>
      <c r="B477" s="6"/>
      <c r="C477" s="2"/>
      <c r="D477" s="2"/>
      <c r="E477" s="2"/>
      <c r="F477" s="2"/>
      <c r="G477" s="2"/>
    </row>
    <row r="478" spans="1:7" x14ac:dyDescent="0.2">
      <c r="A478" s="5"/>
      <c r="B478" s="6"/>
      <c r="C478" s="2"/>
      <c r="D478" s="2"/>
      <c r="E478" s="2"/>
      <c r="F478" s="2"/>
      <c r="G478" s="2"/>
    </row>
    <row r="479" spans="1:7" x14ac:dyDescent="0.2">
      <c r="A479" s="5"/>
      <c r="B479" s="6"/>
      <c r="C479" s="2"/>
      <c r="D479" s="2"/>
      <c r="E479" s="2"/>
      <c r="F479" s="2"/>
      <c r="G479" s="2"/>
    </row>
    <row r="480" spans="1:7" x14ac:dyDescent="0.2">
      <c r="A480" s="4"/>
      <c r="B480" s="6"/>
      <c r="C480" s="2"/>
      <c r="D480" s="2"/>
      <c r="E480" s="2"/>
      <c r="F480" s="2"/>
      <c r="G480" s="2"/>
    </row>
    <row r="481" spans="1:7" x14ac:dyDescent="0.2">
      <c r="A481" s="5"/>
      <c r="B481" s="6"/>
      <c r="C481" s="2"/>
      <c r="D481" s="2"/>
      <c r="E481" s="2"/>
      <c r="F481" s="2"/>
      <c r="G481" s="2"/>
    </row>
    <row r="482" spans="1:7" x14ac:dyDescent="0.2">
      <c r="A482" s="5"/>
      <c r="B482" s="6"/>
      <c r="C482" s="2"/>
      <c r="D482" s="2"/>
      <c r="E482" s="2"/>
      <c r="F482" s="2"/>
      <c r="G482" s="2"/>
    </row>
    <row r="483" spans="1:7" x14ac:dyDescent="0.2">
      <c r="A483" s="4"/>
      <c r="B483" s="6"/>
      <c r="C483" s="2"/>
      <c r="D483" s="2"/>
      <c r="E483" s="2"/>
      <c r="F483" s="2"/>
      <c r="G483" s="2"/>
    </row>
    <row r="484" spans="1:7" x14ac:dyDescent="0.2">
      <c r="A484" s="5"/>
      <c r="B484" s="6"/>
      <c r="C484" s="2"/>
      <c r="D484" s="2"/>
      <c r="E484" s="2"/>
      <c r="F484" s="2"/>
      <c r="G484" s="2"/>
    </row>
    <row r="485" spans="1:7" x14ac:dyDescent="0.2">
      <c r="A485" s="5"/>
      <c r="B485" s="6"/>
      <c r="C485" s="2"/>
      <c r="D485" s="2"/>
      <c r="E485" s="2"/>
      <c r="F485" s="2"/>
      <c r="G485" s="2"/>
    </row>
    <row r="486" spans="1:7" x14ac:dyDescent="0.2">
      <c r="A486" s="5"/>
      <c r="B486" s="6"/>
      <c r="C486" s="2"/>
      <c r="D486" s="2"/>
      <c r="E486" s="2"/>
      <c r="F486" s="2"/>
      <c r="G486" s="2"/>
    </row>
    <row r="487" spans="1:7" x14ac:dyDescent="0.2">
      <c r="A487" s="4"/>
      <c r="B487" s="6"/>
      <c r="C487" s="2"/>
      <c r="D487" s="2"/>
      <c r="E487" s="2"/>
      <c r="F487" s="2"/>
      <c r="G487" s="2"/>
    </row>
    <row r="488" spans="1:7" x14ac:dyDescent="0.2">
      <c r="A488" s="5"/>
      <c r="B488" s="6"/>
      <c r="C488" s="2"/>
      <c r="D488" s="2"/>
      <c r="E488" s="2"/>
      <c r="F488" s="2"/>
      <c r="G488" s="2"/>
    </row>
    <row r="489" spans="1:7" x14ac:dyDescent="0.2">
      <c r="A489" s="5"/>
      <c r="B489" s="6"/>
      <c r="C489" s="2"/>
      <c r="D489" s="2"/>
      <c r="E489" s="2"/>
      <c r="F489" s="2"/>
      <c r="G489" s="2"/>
    </row>
    <row r="490" spans="1:7" x14ac:dyDescent="0.2">
      <c r="A490" s="5"/>
      <c r="B490" s="6"/>
      <c r="C490" s="2"/>
      <c r="D490" s="2"/>
      <c r="E490" s="2"/>
      <c r="F490" s="2"/>
      <c r="G490" s="2"/>
    </row>
    <row r="491" spans="1:7" x14ac:dyDescent="0.2">
      <c r="A491" s="4"/>
      <c r="B491" s="6"/>
      <c r="C491" s="2"/>
      <c r="D491" s="2"/>
      <c r="E491" s="2"/>
      <c r="F491" s="2"/>
      <c r="G491" s="2"/>
    </row>
    <row r="492" spans="1:7" x14ac:dyDescent="0.2">
      <c r="A492" s="5"/>
      <c r="B492" s="6"/>
      <c r="C492" s="2"/>
      <c r="D492" s="2"/>
      <c r="E492" s="2"/>
      <c r="F492" s="2"/>
      <c r="G492" s="2"/>
    </row>
    <row r="493" spans="1:7" x14ac:dyDescent="0.2">
      <c r="A493" s="5"/>
      <c r="B493" s="6"/>
      <c r="C493" s="2"/>
      <c r="D493" s="2"/>
      <c r="E493" s="2"/>
      <c r="F493" s="2"/>
      <c r="G493" s="2"/>
    </row>
    <row r="494" spans="1:7" x14ac:dyDescent="0.2">
      <c r="A494" s="5"/>
      <c r="B494" s="6"/>
      <c r="C494" s="2"/>
      <c r="D494" s="2"/>
      <c r="E494" s="2"/>
      <c r="F494" s="2"/>
      <c r="G494" s="2"/>
    </row>
    <row r="495" spans="1:7" x14ac:dyDescent="0.2">
      <c r="A495" s="4"/>
      <c r="B495" s="6"/>
      <c r="C495" s="2"/>
      <c r="D495" s="2"/>
      <c r="E495" s="2"/>
      <c r="F495" s="2"/>
      <c r="G495" s="2"/>
    </row>
    <row r="496" spans="1:7" x14ac:dyDescent="0.2">
      <c r="A496" s="5"/>
      <c r="B496" s="6"/>
      <c r="C496" s="2"/>
      <c r="D496" s="2"/>
      <c r="E496" s="2"/>
      <c r="F496" s="2"/>
      <c r="G496" s="2"/>
    </row>
    <row r="497" spans="1:7" x14ac:dyDescent="0.2">
      <c r="A497" s="5"/>
      <c r="B497" s="6"/>
      <c r="C497" s="2"/>
      <c r="D497" s="2"/>
      <c r="E497" s="2"/>
      <c r="F497" s="2"/>
      <c r="G497" s="2"/>
    </row>
    <row r="498" spans="1:7" x14ac:dyDescent="0.2">
      <c r="A498" s="4"/>
      <c r="B498" s="6"/>
      <c r="C498" s="2"/>
      <c r="D498" s="2"/>
      <c r="E498" s="2"/>
      <c r="F498" s="2"/>
      <c r="G498" s="2"/>
    </row>
    <row r="499" spans="1:7" x14ac:dyDescent="0.2">
      <c r="A499" s="5"/>
      <c r="B499" s="6"/>
      <c r="C499" s="2"/>
      <c r="D499" s="2"/>
      <c r="E499" s="2"/>
      <c r="F499" s="2"/>
      <c r="G499" s="2"/>
    </row>
    <row r="500" spans="1:7" x14ac:dyDescent="0.2">
      <c r="A500" s="5"/>
      <c r="B500" s="6"/>
      <c r="C500" s="2"/>
      <c r="D500" s="2"/>
      <c r="E500" s="2"/>
      <c r="F500" s="2"/>
      <c r="G500" s="2"/>
    </row>
    <row r="501" spans="1:7" x14ac:dyDescent="0.2">
      <c r="A501" s="5"/>
      <c r="B501" s="6"/>
      <c r="C501" s="2"/>
      <c r="D501" s="2"/>
      <c r="E501" s="2"/>
      <c r="F501" s="2"/>
      <c r="G501" s="2"/>
    </row>
    <row r="502" spans="1:7" x14ac:dyDescent="0.2">
      <c r="A502" s="4"/>
      <c r="B502" s="6"/>
      <c r="C502" s="2"/>
      <c r="D502" s="2"/>
      <c r="E502" s="2"/>
      <c r="F502" s="2"/>
      <c r="G502" s="2"/>
    </row>
    <row r="503" spans="1:7" x14ac:dyDescent="0.2">
      <c r="A503" s="5"/>
      <c r="B503" s="6"/>
      <c r="C503" s="2"/>
      <c r="D503" s="2"/>
      <c r="E503" s="2"/>
      <c r="F503" s="2"/>
      <c r="G503" s="2"/>
    </row>
    <row r="504" spans="1:7" x14ac:dyDescent="0.2">
      <c r="A504" s="5"/>
      <c r="B504" s="6"/>
      <c r="C504" s="2"/>
      <c r="D504" s="2"/>
      <c r="E504" s="2"/>
      <c r="F504" s="2"/>
      <c r="G504" s="2"/>
    </row>
    <row r="505" spans="1:7" x14ac:dyDescent="0.2">
      <c r="A505" s="5"/>
      <c r="B505" s="6"/>
      <c r="C505" s="2"/>
      <c r="D505" s="2"/>
      <c r="E505" s="2"/>
      <c r="F505" s="2"/>
      <c r="G505" s="2"/>
    </row>
    <row r="506" spans="1:7" x14ac:dyDescent="0.2">
      <c r="A506" s="4"/>
      <c r="B506" s="6"/>
      <c r="C506" s="2"/>
      <c r="D506" s="2"/>
      <c r="E506" s="2"/>
      <c r="F506" s="2"/>
      <c r="G506" s="2"/>
    </row>
    <row r="507" spans="1:7" x14ac:dyDescent="0.2">
      <c r="A507" s="5"/>
      <c r="B507" s="6"/>
      <c r="C507" s="2"/>
      <c r="D507" s="2"/>
      <c r="E507" s="2"/>
      <c r="F507" s="2"/>
      <c r="G507" s="2"/>
    </row>
    <row r="508" spans="1:7" x14ac:dyDescent="0.2">
      <c r="A508" s="5"/>
      <c r="B508" s="6"/>
      <c r="C508" s="2"/>
      <c r="D508" s="2"/>
      <c r="E508" s="2"/>
      <c r="F508" s="2"/>
      <c r="G508" s="2"/>
    </row>
    <row r="509" spans="1:7" x14ac:dyDescent="0.2">
      <c r="A509" s="5"/>
      <c r="B509" s="6"/>
      <c r="C509" s="2"/>
      <c r="D509" s="2"/>
      <c r="E509" s="2"/>
      <c r="F509" s="2"/>
      <c r="G509" s="2"/>
    </row>
    <row r="510" spans="1:7" x14ac:dyDescent="0.2">
      <c r="A510" s="4"/>
      <c r="B510" s="6"/>
      <c r="C510" s="2"/>
      <c r="D510" s="2"/>
      <c r="E510" s="2"/>
      <c r="F510" s="2"/>
      <c r="G510" s="2"/>
    </row>
    <row r="511" spans="1:7" x14ac:dyDescent="0.2">
      <c r="A511" s="5"/>
      <c r="B511" s="6"/>
      <c r="C511" s="2"/>
      <c r="D511" s="2"/>
      <c r="E511" s="2"/>
      <c r="F511" s="2"/>
      <c r="G511" s="2"/>
    </row>
    <row r="512" spans="1:7" x14ac:dyDescent="0.2">
      <c r="A512" s="5"/>
      <c r="B512" s="6"/>
      <c r="C512" s="2"/>
      <c r="D512" s="2"/>
      <c r="E512" s="2"/>
      <c r="F512" s="2"/>
      <c r="G512" s="2"/>
    </row>
    <row r="513" spans="1:7" x14ac:dyDescent="0.2">
      <c r="A513" s="4"/>
      <c r="B513" s="6"/>
      <c r="C513" s="2"/>
      <c r="D513" s="2"/>
      <c r="E513" s="2"/>
      <c r="F513" s="2"/>
      <c r="G513" s="2"/>
    </row>
    <row r="514" spans="1:7" x14ac:dyDescent="0.2">
      <c r="A514" s="5"/>
      <c r="B514" s="6"/>
      <c r="C514" s="2"/>
      <c r="D514" s="2"/>
      <c r="E514" s="2"/>
      <c r="F514" s="2"/>
      <c r="G514" s="2"/>
    </row>
    <row r="515" spans="1:7" x14ac:dyDescent="0.2">
      <c r="A515" s="5"/>
      <c r="B515" s="6"/>
      <c r="C515" s="2"/>
      <c r="D515" s="2"/>
      <c r="E515" s="2"/>
      <c r="F515" s="2"/>
      <c r="G515" s="2"/>
    </row>
    <row r="516" spans="1:7" x14ac:dyDescent="0.2">
      <c r="A516" s="5"/>
      <c r="B516" s="6"/>
      <c r="C516" s="2"/>
      <c r="D516" s="2"/>
      <c r="E516" s="2"/>
      <c r="F516" s="2"/>
      <c r="G516" s="2"/>
    </row>
    <row r="517" spans="1:7" x14ac:dyDescent="0.2">
      <c r="A517" s="4"/>
      <c r="B517" s="6"/>
      <c r="C517" s="2"/>
      <c r="D517" s="2"/>
      <c r="E517" s="2"/>
      <c r="F517" s="2"/>
      <c r="G517" s="2"/>
    </row>
    <row r="518" spans="1:7" x14ac:dyDescent="0.2">
      <c r="A518" s="5"/>
      <c r="B518" s="6"/>
      <c r="C518" s="2"/>
      <c r="D518" s="2"/>
      <c r="E518" s="2"/>
      <c r="F518" s="2"/>
      <c r="G518" s="2"/>
    </row>
    <row r="519" spans="1:7" x14ac:dyDescent="0.2">
      <c r="A519" s="5"/>
      <c r="B519" s="6"/>
      <c r="C519" s="2"/>
      <c r="D519" s="2"/>
      <c r="E519" s="2"/>
      <c r="F519" s="2"/>
      <c r="G519" s="2"/>
    </row>
    <row r="520" spans="1:7" x14ac:dyDescent="0.2">
      <c r="A520" s="5"/>
      <c r="B520" s="6"/>
      <c r="C520" s="2"/>
      <c r="D520" s="2"/>
      <c r="E520" s="2"/>
      <c r="F520" s="2"/>
      <c r="G520" s="2"/>
    </row>
    <row r="521" spans="1:7" x14ac:dyDescent="0.2">
      <c r="A521" s="4"/>
      <c r="B521" s="6"/>
      <c r="C521" s="2"/>
      <c r="D521" s="2"/>
      <c r="E521" s="2"/>
      <c r="F521" s="2"/>
      <c r="G521" s="2"/>
    </row>
    <row r="522" spans="1:7" x14ac:dyDescent="0.2">
      <c r="A522" s="5"/>
      <c r="B522" s="6"/>
      <c r="C522" s="2"/>
      <c r="D522" s="2"/>
      <c r="E522" s="2"/>
      <c r="F522" s="2"/>
      <c r="G522" s="2"/>
    </row>
    <row r="523" spans="1:7" x14ac:dyDescent="0.2">
      <c r="A523" s="5"/>
      <c r="B523" s="6"/>
      <c r="C523" s="2"/>
      <c r="D523" s="2"/>
      <c r="E523" s="2"/>
      <c r="F523" s="2"/>
      <c r="G523" s="2"/>
    </row>
    <row r="524" spans="1:7" x14ac:dyDescent="0.2">
      <c r="A524" s="5"/>
      <c r="B524" s="6"/>
      <c r="C524" s="2"/>
      <c r="D524" s="2"/>
      <c r="E524" s="2"/>
      <c r="F524" s="2"/>
      <c r="G524" s="2"/>
    </row>
    <row r="525" spans="1:7" x14ac:dyDescent="0.2">
      <c r="A525" s="4"/>
      <c r="B525" s="6"/>
      <c r="C525" s="2"/>
      <c r="D525" s="2"/>
      <c r="E525" s="2"/>
      <c r="F525" s="2"/>
      <c r="G525" s="2"/>
    </row>
    <row r="526" spans="1:7" x14ac:dyDescent="0.2">
      <c r="A526" s="5"/>
      <c r="B526" s="6"/>
      <c r="C526" s="2"/>
      <c r="D526" s="2"/>
      <c r="E526" s="2"/>
      <c r="F526" s="2"/>
      <c r="G526" s="2"/>
    </row>
    <row r="527" spans="1:7" x14ac:dyDescent="0.2">
      <c r="A527" s="5"/>
      <c r="B527" s="6"/>
      <c r="C527" s="2"/>
      <c r="D527" s="2"/>
      <c r="E527" s="2"/>
      <c r="F527" s="2"/>
      <c r="G527" s="2"/>
    </row>
    <row r="528" spans="1:7" x14ac:dyDescent="0.2">
      <c r="A528" s="4"/>
      <c r="B528" s="6"/>
      <c r="C528" s="2"/>
      <c r="D528" s="2"/>
      <c r="E528" s="2"/>
      <c r="F528" s="2"/>
      <c r="G528" s="2"/>
    </row>
    <row r="529" spans="1:7" x14ac:dyDescent="0.2">
      <c r="A529" s="5"/>
      <c r="B529" s="6"/>
      <c r="C529" s="2"/>
      <c r="D529" s="2"/>
      <c r="E529" s="2"/>
      <c r="F529" s="2"/>
      <c r="G529" s="2"/>
    </row>
    <row r="530" spans="1:7" x14ac:dyDescent="0.2">
      <c r="A530" s="5"/>
      <c r="B530" s="6"/>
      <c r="C530" s="2"/>
      <c r="D530" s="2"/>
      <c r="E530" s="2"/>
      <c r="F530" s="2"/>
      <c r="G530" s="2"/>
    </row>
    <row r="531" spans="1:7" x14ac:dyDescent="0.2">
      <c r="A531" s="5"/>
      <c r="B531" s="6"/>
      <c r="C531" s="2"/>
      <c r="D531" s="2"/>
      <c r="E531" s="2"/>
      <c r="F531" s="2"/>
      <c r="G531" s="2"/>
    </row>
    <row r="532" spans="1:7" x14ac:dyDescent="0.2">
      <c r="A532" s="4"/>
      <c r="B532" s="6"/>
      <c r="C532" s="2"/>
      <c r="D532" s="2"/>
      <c r="E532" s="2"/>
      <c r="F532" s="2"/>
      <c r="G532" s="2"/>
    </row>
    <row r="533" spans="1:7" x14ac:dyDescent="0.2">
      <c r="A533" s="5"/>
      <c r="B533" s="6"/>
      <c r="C533" s="2"/>
      <c r="D533" s="2"/>
      <c r="E533" s="2"/>
      <c r="F533" s="2"/>
      <c r="G533" s="2"/>
    </row>
    <row r="534" spans="1:7" x14ac:dyDescent="0.2">
      <c r="A534" s="5"/>
      <c r="B534" s="6"/>
      <c r="C534" s="2"/>
      <c r="D534" s="2"/>
      <c r="E534" s="2"/>
      <c r="F534" s="2"/>
      <c r="G534" s="2"/>
    </row>
    <row r="535" spans="1:7" x14ac:dyDescent="0.2">
      <c r="A535" s="5"/>
      <c r="B535" s="6"/>
      <c r="C535" s="2"/>
      <c r="D535" s="2"/>
      <c r="E535" s="2"/>
      <c r="F535" s="2"/>
      <c r="G535" s="2"/>
    </row>
    <row r="536" spans="1:7" x14ac:dyDescent="0.2">
      <c r="A536" s="4"/>
      <c r="B536" s="6"/>
      <c r="C536" s="2"/>
      <c r="D536" s="2"/>
      <c r="E536" s="2"/>
      <c r="F536" s="2"/>
      <c r="G536" s="2"/>
    </row>
    <row r="537" spans="1:7" x14ac:dyDescent="0.2">
      <c r="A537" s="5"/>
      <c r="B537" s="6"/>
      <c r="C537" s="2"/>
      <c r="D537" s="2"/>
      <c r="E537" s="2"/>
      <c r="F537" s="2"/>
      <c r="G537" s="2"/>
    </row>
    <row r="538" spans="1:7" x14ac:dyDescent="0.2">
      <c r="A538" s="5"/>
      <c r="B538" s="6"/>
      <c r="C538" s="2"/>
      <c r="D538" s="2"/>
      <c r="E538" s="2"/>
      <c r="F538" s="2"/>
      <c r="G538" s="2"/>
    </row>
    <row r="539" spans="1:7" x14ac:dyDescent="0.2">
      <c r="A539" s="5"/>
      <c r="B539" s="6"/>
      <c r="C539" s="2"/>
      <c r="D539" s="2"/>
      <c r="E539" s="2"/>
      <c r="F539" s="2"/>
      <c r="G539" s="2"/>
    </row>
    <row r="540" spans="1:7" x14ac:dyDescent="0.2">
      <c r="A540" s="4"/>
      <c r="B540" s="6"/>
      <c r="C540" s="2"/>
      <c r="D540" s="2"/>
      <c r="E540" s="2"/>
      <c r="F540" s="2"/>
      <c r="G540" s="2"/>
    </row>
    <row r="541" spans="1:7" x14ac:dyDescent="0.2">
      <c r="A541" s="5"/>
      <c r="B541" s="6"/>
      <c r="C541" s="2"/>
      <c r="D541" s="2"/>
      <c r="E541" s="2"/>
      <c r="F541" s="2"/>
      <c r="G541" s="2"/>
    </row>
    <row r="542" spans="1:7" x14ac:dyDescent="0.2">
      <c r="A542" s="5"/>
      <c r="B542" s="6"/>
      <c r="C542" s="2"/>
      <c r="D542" s="2"/>
      <c r="E542" s="2"/>
      <c r="F542" s="2"/>
      <c r="G542" s="2"/>
    </row>
    <row r="543" spans="1:7" x14ac:dyDescent="0.2">
      <c r="A543" s="4"/>
      <c r="B543" s="6"/>
      <c r="C543" s="2"/>
      <c r="D543" s="2"/>
      <c r="E543" s="2"/>
      <c r="F543" s="2"/>
      <c r="G543" s="2"/>
    </row>
    <row r="544" spans="1:7" x14ac:dyDescent="0.2">
      <c r="A544" s="5"/>
      <c r="B544" s="6"/>
      <c r="C544" s="2"/>
      <c r="D544" s="2"/>
      <c r="E544" s="2"/>
      <c r="F544" s="2"/>
      <c r="G544" s="2"/>
    </row>
    <row r="545" spans="1:7" x14ac:dyDescent="0.2">
      <c r="A545" s="5"/>
      <c r="B545" s="6"/>
      <c r="C545" s="2"/>
      <c r="D545" s="2"/>
      <c r="E545" s="2"/>
      <c r="F545" s="2"/>
      <c r="G545" s="2"/>
    </row>
    <row r="546" spans="1:7" x14ac:dyDescent="0.2">
      <c r="A546" s="5"/>
      <c r="B546" s="6"/>
      <c r="C546" s="2"/>
      <c r="D546" s="2"/>
      <c r="E546" s="2"/>
      <c r="F546" s="2"/>
      <c r="G546" s="2"/>
    </row>
    <row r="547" spans="1:7" x14ac:dyDescent="0.2">
      <c r="A547" s="4"/>
      <c r="B547" s="6"/>
      <c r="C547" s="2"/>
      <c r="D547" s="2"/>
      <c r="E547" s="2"/>
      <c r="F547" s="2"/>
      <c r="G547" s="2"/>
    </row>
    <row r="548" spans="1:7" x14ac:dyDescent="0.2">
      <c r="A548" s="5"/>
      <c r="B548" s="6"/>
      <c r="C548" s="2"/>
      <c r="D548" s="2"/>
      <c r="E548" s="2"/>
      <c r="F548" s="2"/>
      <c r="G548" s="2"/>
    </row>
    <row r="549" spans="1:7" x14ac:dyDescent="0.2">
      <c r="A549" s="5"/>
      <c r="B549" s="6"/>
      <c r="C549" s="2"/>
      <c r="D549" s="2"/>
      <c r="E549" s="2"/>
      <c r="F549" s="2"/>
      <c r="G549" s="2"/>
    </row>
    <row r="550" spans="1:7" x14ac:dyDescent="0.2">
      <c r="A550" s="5"/>
      <c r="B550" s="6"/>
      <c r="C550" s="2"/>
      <c r="D550" s="2"/>
      <c r="E550" s="2"/>
      <c r="F550" s="2"/>
      <c r="G550" s="2"/>
    </row>
    <row r="551" spans="1:7" x14ac:dyDescent="0.2">
      <c r="A551" s="4"/>
      <c r="B551" s="6"/>
      <c r="C551" s="2"/>
      <c r="D551" s="2"/>
      <c r="E551" s="2"/>
      <c r="F551" s="2"/>
      <c r="G551" s="2"/>
    </row>
    <row r="552" spans="1:7" x14ac:dyDescent="0.2">
      <c r="A552" s="5"/>
      <c r="B552" s="6"/>
      <c r="C552" s="2"/>
      <c r="D552" s="2"/>
      <c r="E552" s="2"/>
      <c r="F552" s="2"/>
      <c r="G552" s="2"/>
    </row>
    <row r="553" spans="1:7" x14ac:dyDescent="0.2">
      <c r="A553" s="5"/>
      <c r="B553" s="6"/>
      <c r="C553" s="2"/>
      <c r="D553" s="2"/>
      <c r="E553" s="2"/>
      <c r="F553" s="2"/>
      <c r="G553" s="2"/>
    </row>
    <row r="554" spans="1:7" x14ac:dyDescent="0.2">
      <c r="A554" s="5"/>
      <c r="B554" s="6"/>
      <c r="C554" s="2"/>
      <c r="D554" s="2"/>
      <c r="E554" s="2"/>
      <c r="F554" s="2"/>
      <c r="G554" s="2"/>
    </row>
    <row r="555" spans="1:7" x14ac:dyDescent="0.2">
      <c r="A555" s="4"/>
      <c r="B555" s="6"/>
      <c r="C555" s="2"/>
      <c r="D555" s="2"/>
      <c r="E555" s="2"/>
      <c r="F555" s="2"/>
      <c r="G555" s="2"/>
    </row>
    <row r="556" spans="1:7" x14ac:dyDescent="0.2">
      <c r="A556" s="5"/>
      <c r="B556" s="6"/>
      <c r="C556" s="2"/>
      <c r="D556" s="2"/>
      <c r="E556" s="2"/>
      <c r="F556" s="2"/>
      <c r="G556" s="2"/>
    </row>
    <row r="557" spans="1:7" x14ac:dyDescent="0.2">
      <c r="A557" s="5"/>
      <c r="B557" s="6"/>
      <c r="C557" s="2"/>
      <c r="D557" s="2"/>
      <c r="E557" s="2"/>
      <c r="F557" s="2"/>
      <c r="G557" s="2"/>
    </row>
    <row r="558" spans="1:7" x14ac:dyDescent="0.2">
      <c r="A558" s="4"/>
      <c r="B558" s="6"/>
      <c r="C558" s="2"/>
      <c r="D558" s="2"/>
      <c r="E558" s="2"/>
      <c r="F558" s="2"/>
      <c r="G558" s="2"/>
    </row>
    <row r="559" spans="1:7" x14ac:dyDescent="0.2">
      <c r="A559" s="5"/>
      <c r="B559" s="6"/>
      <c r="C559" s="2"/>
      <c r="D559" s="2"/>
      <c r="E559" s="2"/>
      <c r="F559" s="2"/>
      <c r="G559" s="2"/>
    </row>
    <row r="560" spans="1:7" x14ac:dyDescent="0.2">
      <c r="A560" s="5"/>
      <c r="B560" s="6"/>
      <c r="C560" s="2"/>
      <c r="D560" s="2"/>
      <c r="E560" s="2"/>
      <c r="F560" s="2"/>
      <c r="G560" s="2"/>
    </row>
    <row r="561" spans="1:7" x14ac:dyDescent="0.2">
      <c r="A561" s="5"/>
      <c r="B561" s="6"/>
      <c r="C561" s="2"/>
      <c r="D561" s="2"/>
      <c r="E561" s="2"/>
      <c r="F561" s="2"/>
      <c r="G561" s="2"/>
    </row>
    <row r="562" spans="1:7" x14ac:dyDescent="0.2">
      <c r="A562" s="4"/>
      <c r="B562" s="6"/>
      <c r="C562" s="2"/>
      <c r="D562" s="2"/>
      <c r="E562" s="2"/>
      <c r="F562" s="2"/>
      <c r="G562" s="2"/>
    </row>
    <row r="563" spans="1:7" x14ac:dyDescent="0.2">
      <c r="A563" s="5"/>
      <c r="B563" s="6"/>
      <c r="C563" s="2"/>
      <c r="D563" s="2"/>
      <c r="E563" s="2"/>
      <c r="F563" s="2"/>
      <c r="G563" s="2"/>
    </row>
    <row r="564" spans="1:7" x14ac:dyDescent="0.2">
      <c r="A564" s="5"/>
      <c r="B564" s="6"/>
      <c r="C564" s="2"/>
      <c r="D564" s="2"/>
      <c r="E564" s="2"/>
      <c r="F564" s="2"/>
      <c r="G564" s="2"/>
    </row>
    <row r="565" spans="1:7" x14ac:dyDescent="0.2">
      <c r="A565" s="5"/>
      <c r="B565" s="6"/>
      <c r="C565" s="2"/>
      <c r="D565" s="2"/>
      <c r="E565" s="2"/>
      <c r="F565" s="2"/>
      <c r="G565" s="2"/>
    </row>
    <row r="566" spans="1:7" x14ac:dyDescent="0.2">
      <c r="A566" s="4"/>
      <c r="B566" s="6"/>
      <c r="C566" s="2"/>
      <c r="D566" s="2"/>
      <c r="E566" s="2"/>
      <c r="F566" s="2"/>
      <c r="G566" s="2"/>
    </row>
    <row r="567" spans="1:7" x14ac:dyDescent="0.2">
      <c r="A567" s="5"/>
      <c r="B567" s="6"/>
      <c r="C567" s="2"/>
      <c r="D567" s="2"/>
      <c r="E567" s="2"/>
      <c r="F567" s="2"/>
      <c r="G567" s="2"/>
    </row>
    <row r="568" spans="1:7" x14ac:dyDescent="0.2">
      <c r="A568" s="5"/>
      <c r="B568" s="6"/>
      <c r="C568" s="2"/>
      <c r="D568" s="2"/>
      <c r="E568" s="2"/>
      <c r="F568" s="2"/>
      <c r="G568" s="2"/>
    </row>
    <row r="569" spans="1:7" x14ac:dyDescent="0.2">
      <c r="A569" s="5"/>
      <c r="B569" s="6"/>
      <c r="C569" s="2"/>
      <c r="D569" s="2"/>
      <c r="E569" s="2"/>
      <c r="F569" s="2"/>
      <c r="G569" s="2"/>
    </row>
    <row r="570" spans="1:7" x14ac:dyDescent="0.2">
      <c r="A570" s="4"/>
      <c r="B570" s="6"/>
      <c r="C570" s="2"/>
      <c r="D570" s="2"/>
      <c r="E570" s="2"/>
      <c r="F570" s="2"/>
      <c r="G570" s="2"/>
    </row>
    <row r="571" spans="1:7" x14ac:dyDescent="0.2">
      <c r="A571" s="5"/>
      <c r="B571" s="6"/>
      <c r="C571" s="2"/>
      <c r="D571" s="2"/>
      <c r="E571" s="2"/>
      <c r="F571" s="2"/>
      <c r="G571" s="2"/>
    </row>
    <row r="572" spans="1:7" x14ac:dyDescent="0.2">
      <c r="A572" s="5"/>
      <c r="B572" s="6"/>
      <c r="C572" s="2"/>
      <c r="D572" s="2"/>
      <c r="E572" s="2"/>
      <c r="F572" s="2"/>
      <c r="G572" s="2"/>
    </row>
    <row r="573" spans="1:7" x14ac:dyDescent="0.2">
      <c r="A573" s="4"/>
      <c r="B573" s="6"/>
      <c r="C573" s="2"/>
      <c r="D573" s="2"/>
      <c r="E573" s="2"/>
      <c r="F573" s="2"/>
      <c r="G573" s="2"/>
    </row>
    <row r="574" spans="1:7" x14ac:dyDescent="0.2">
      <c r="A574" s="5"/>
      <c r="B574" s="6"/>
      <c r="C574" s="2"/>
      <c r="D574" s="2"/>
      <c r="E574" s="2"/>
      <c r="F574" s="2"/>
      <c r="G574" s="2"/>
    </row>
    <row r="575" spans="1:7" x14ac:dyDescent="0.2">
      <c r="A575" s="5"/>
      <c r="B575" s="6"/>
      <c r="C575" s="2"/>
      <c r="D575" s="2"/>
      <c r="E575" s="2"/>
      <c r="F575" s="2"/>
      <c r="G575" s="2"/>
    </row>
    <row r="576" spans="1:7" x14ac:dyDescent="0.2">
      <c r="A576" s="5"/>
      <c r="B576" s="6"/>
      <c r="C576" s="2"/>
      <c r="D576" s="2"/>
      <c r="E576" s="2"/>
      <c r="F576" s="2"/>
      <c r="G576" s="2"/>
    </row>
    <row r="577" spans="1:7" x14ac:dyDescent="0.2">
      <c r="A577" s="4"/>
      <c r="B577" s="6"/>
      <c r="C577" s="2"/>
      <c r="D577" s="2"/>
      <c r="E577" s="2"/>
      <c r="F577" s="2"/>
      <c r="G577" s="2"/>
    </row>
    <row r="578" spans="1:7" x14ac:dyDescent="0.2">
      <c r="A578" s="5"/>
      <c r="B578" s="6"/>
      <c r="C578" s="2"/>
      <c r="D578" s="2"/>
      <c r="E578" s="2"/>
      <c r="F578" s="2"/>
      <c r="G578" s="2"/>
    </row>
    <row r="579" spans="1:7" x14ac:dyDescent="0.2">
      <c r="A579" s="5"/>
      <c r="B579" s="6"/>
      <c r="C579" s="2"/>
      <c r="D579" s="2"/>
      <c r="E579" s="2"/>
      <c r="F579" s="2"/>
      <c r="G579" s="2"/>
    </row>
    <row r="580" spans="1:7" x14ac:dyDescent="0.2">
      <c r="A580" s="5"/>
      <c r="B580" s="6"/>
      <c r="C580" s="2"/>
      <c r="D580" s="2"/>
      <c r="E580" s="2"/>
      <c r="F580" s="2"/>
      <c r="G580" s="2"/>
    </row>
    <row r="581" spans="1:7" x14ac:dyDescent="0.2">
      <c r="A581" s="4"/>
      <c r="B581" s="6"/>
      <c r="C581" s="2"/>
      <c r="D581" s="2"/>
      <c r="E581" s="2"/>
      <c r="F581" s="2"/>
      <c r="G581" s="2"/>
    </row>
    <row r="582" spans="1:7" x14ac:dyDescent="0.2">
      <c r="A582" s="5"/>
      <c r="B582" s="6"/>
      <c r="C582" s="2"/>
      <c r="D582" s="2"/>
      <c r="E582" s="2"/>
      <c r="F582" s="2"/>
      <c r="G582" s="2"/>
    </row>
    <row r="583" spans="1:7" x14ac:dyDescent="0.2">
      <c r="A583" s="5"/>
      <c r="B583" s="6"/>
      <c r="C583" s="2"/>
      <c r="D583" s="2"/>
      <c r="E583" s="2"/>
      <c r="F583" s="2"/>
      <c r="G583" s="2"/>
    </row>
    <row r="584" spans="1:7" x14ac:dyDescent="0.2">
      <c r="A584" s="5"/>
      <c r="B584" s="6"/>
      <c r="C584" s="2"/>
      <c r="D584" s="2"/>
      <c r="E584" s="2"/>
      <c r="F584" s="2"/>
      <c r="G584" s="2"/>
    </row>
    <row r="585" spans="1:7" x14ac:dyDescent="0.2">
      <c r="A585" s="4"/>
      <c r="B585" s="6"/>
      <c r="C585" s="2"/>
      <c r="D585" s="2"/>
      <c r="E585" s="2"/>
      <c r="F585" s="2"/>
      <c r="G585" s="2"/>
    </row>
    <row r="586" spans="1:7" x14ac:dyDescent="0.2">
      <c r="A586" s="5"/>
      <c r="B586" s="6"/>
      <c r="C586" s="2"/>
      <c r="D586" s="2"/>
      <c r="E586" s="2"/>
      <c r="F586" s="2"/>
      <c r="G586" s="2"/>
    </row>
    <row r="587" spans="1:7" x14ac:dyDescent="0.2">
      <c r="A587" s="5"/>
      <c r="B587" s="6"/>
      <c r="C587" s="2"/>
      <c r="D587" s="2"/>
      <c r="E587" s="2"/>
      <c r="F587" s="2"/>
      <c r="G587" s="2"/>
    </row>
    <row r="588" spans="1:7" x14ac:dyDescent="0.2">
      <c r="A588" s="4"/>
      <c r="B588" s="6"/>
      <c r="C588" s="2"/>
      <c r="D588" s="2"/>
      <c r="E588" s="2"/>
      <c r="F588" s="2"/>
      <c r="G588" s="2"/>
    </row>
    <row r="589" spans="1:7" x14ac:dyDescent="0.2">
      <c r="A589" s="5"/>
      <c r="B589" s="6"/>
      <c r="C589" s="2"/>
      <c r="D589" s="2"/>
      <c r="E589" s="2"/>
      <c r="F589" s="2"/>
      <c r="G589" s="2"/>
    </row>
    <row r="590" spans="1:7" x14ac:dyDescent="0.2">
      <c r="A590" s="5"/>
      <c r="B590" s="6"/>
      <c r="C590" s="2"/>
      <c r="D590" s="2"/>
      <c r="E590" s="2"/>
      <c r="F590" s="2"/>
      <c r="G590" s="2"/>
    </row>
    <row r="591" spans="1:7" x14ac:dyDescent="0.2">
      <c r="A591" s="5"/>
      <c r="B591" s="6"/>
      <c r="C591" s="2"/>
      <c r="D591" s="2"/>
      <c r="E591" s="2"/>
      <c r="F591" s="2"/>
      <c r="G591" s="2"/>
    </row>
    <row r="592" spans="1:7" x14ac:dyDescent="0.2">
      <c r="A592" s="4"/>
      <c r="B592" s="6"/>
      <c r="C592" s="2"/>
      <c r="D592" s="2"/>
      <c r="E592" s="2"/>
      <c r="F592" s="2"/>
      <c r="G592" s="2"/>
    </row>
    <row r="593" spans="1:7" x14ac:dyDescent="0.2">
      <c r="A593" s="5"/>
      <c r="B593" s="6"/>
      <c r="C593" s="2"/>
      <c r="D593" s="2"/>
      <c r="E593" s="2"/>
      <c r="F593" s="2"/>
      <c r="G593" s="2"/>
    </row>
    <row r="594" spans="1:7" x14ac:dyDescent="0.2">
      <c r="A594" s="5"/>
      <c r="B594" s="6"/>
      <c r="C594" s="2"/>
      <c r="D594" s="2"/>
      <c r="E594" s="2"/>
      <c r="F594" s="2"/>
      <c r="G594" s="2"/>
    </row>
    <row r="595" spans="1:7" x14ac:dyDescent="0.2">
      <c r="A595" s="5"/>
      <c r="B595" s="6"/>
      <c r="C595" s="2"/>
      <c r="D595" s="2"/>
      <c r="E595" s="2"/>
      <c r="F595" s="2"/>
      <c r="G595" s="2"/>
    </row>
    <row r="596" spans="1:7" x14ac:dyDescent="0.2">
      <c r="A596" s="4"/>
      <c r="B596" s="6"/>
      <c r="C596" s="2"/>
      <c r="D596" s="2"/>
      <c r="E596" s="2"/>
      <c r="F596" s="2"/>
      <c r="G596" s="2"/>
    </row>
    <row r="597" spans="1:7" x14ac:dyDescent="0.2">
      <c r="A597" s="5"/>
      <c r="B597" s="6"/>
      <c r="C597" s="2"/>
      <c r="D597" s="2"/>
      <c r="E597" s="2"/>
      <c r="F597" s="2"/>
      <c r="G597" s="2"/>
    </row>
    <row r="598" spans="1:7" x14ac:dyDescent="0.2">
      <c r="A598" s="5"/>
      <c r="B598" s="6"/>
      <c r="C598" s="2"/>
      <c r="D598" s="2"/>
      <c r="E598" s="2"/>
      <c r="F598" s="2"/>
      <c r="G598" s="2"/>
    </row>
    <row r="599" spans="1:7" x14ac:dyDescent="0.2">
      <c r="A599" s="5"/>
      <c r="B599" s="6"/>
      <c r="C599" s="2"/>
      <c r="D599" s="2"/>
      <c r="E599" s="2"/>
      <c r="F599" s="2"/>
      <c r="G599" s="2"/>
    </row>
    <row r="600" spans="1:7" x14ac:dyDescent="0.2">
      <c r="A600" s="4"/>
      <c r="B600" s="6"/>
      <c r="C600" s="2"/>
      <c r="D600" s="2"/>
      <c r="E600" s="2"/>
      <c r="F600" s="2"/>
      <c r="G600" s="2"/>
    </row>
    <row r="601" spans="1:7" x14ac:dyDescent="0.2">
      <c r="A601" s="5"/>
      <c r="B601" s="6"/>
      <c r="C601" s="2"/>
      <c r="D601" s="2"/>
      <c r="E601" s="2"/>
      <c r="F601" s="2"/>
      <c r="G601" s="2"/>
    </row>
    <row r="602" spans="1:7" x14ac:dyDescent="0.2">
      <c r="A602" s="5"/>
      <c r="B602" s="6"/>
      <c r="C602" s="2"/>
      <c r="D602" s="2"/>
      <c r="E602" s="2"/>
      <c r="F602" s="2"/>
      <c r="G602" s="2"/>
    </row>
    <row r="603" spans="1:7" x14ac:dyDescent="0.2">
      <c r="A603" s="4"/>
      <c r="B603" s="6"/>
      <c r="C603" s="2"/>
      <c r="D603" s="2"/>
      <c r="E603" s="2"/>
      <c r="F603" s="2"/>
      <c r="G603" s="2"/>
    </row>
    <row r="604" spans="1:7" x14ac:dyDescent="0.2">
      <c r="A604" s="5"/>
      <c r="B604" s="6"/>
      <c r="C604" s="2"/>
      <c r="D604" s="2"/>
      <c r="E604" s="2"/>
      <c r="F604" s="2"/>
      <c r="G604" s="2"/>
    </row>
    <row r="605" spans="1:7" x14ac:dyDescent="0.2">
      <c r="A605" s="5"/>
      <c r="B605" s="6"/>
      <c r="C605" s="2"/>
      <c r="D605" s="2"/>
      <c r="E605" s="2"/>
      <c r="F605" s="2"/>
      <c r="G605" s="2"/>
    </row>
    <row r="606" spans="1:7" x14ac:dyDescent="0.2">
      <c r="A606" s="5"/>
      <c r="B606" s="6"/>
      <c r="C606" s="2"/>
      <c r="D606" s="2"/>
      <c r="E606" s="2"/>
      <c r="F606" s="2"/>
      <c r="G606" s="2"/>
    </row>
    <row r="607" spans="1:7" x14ac:dyDescent="0.2">
      <c r="A607" s="4"/>
      <c r="B607" s="6"/>
      <c r="C607" s="2"/>
      <c r="D607" s="2"/>
      <c r="E607" s="2"/>
      <c r="F607" s="2"/>
      <c r="G607" s="2"/>
    </row>
    <row r="608" spans="1:7" x14ac:dyDescent="0.2">
      <c r="A608" s="5"/>
      <c r="B608" s="6"/>
      <c r="C608" s="2"/>
      <c r="D608" s="2"/>
      <c r="E608" s="2"/>
      <c r="F608" s="2"/>
      <c r="G608" s="2"/>
    </row>
    <row r="609" spans="1:7" x14ac:dyDescent="0.2">
      <c r="A609" s="5"/>
      <c r="B609" s="6"/>
      <c r="C609" s="2"/>
      <c r="D609" s="2"/>
      <c r="E609" s="2"/>
      <c r="F609" s="2"/>
      <c r="G609" s="2"/>
    </row>
    <row r="610" spans="1:7" x14ac:dyDescent="0.2">
      <c r="A610" s="5"/>
      <c r="B610" s="6"/>
      <c r="C610" s="2"/>
      <c r="D610" s="2"/>
      <c r="E610" s="2"/>
      <c r="F610" s="2"/>
      <c r="G610" s="2"/>
    </row>
    <row r="611" spans="1:7" x14ac:dyDescent="0.2">
      <c r="A611" s="4"/>
      <c r="B611" s="6"/>
      <c r="C611" s="2"/>
      <c r="D611" s="2"/>
      <c r="E611" s="2"/>
      <c r="F611" s="2"/>
      <c r="G611" s="2"/>
    </row>
    <row r="612" spans="1:7" x14ac:dyDescent="0.2">
      <c r="A612" s="5"/>
      <c r="B612" s="6"/>
      <c r="C612" s="2"/>
      <c r="D612" s="2"/>
      <c r="E612" s="2"/>
      <c r="F612" s="2"/>
      <c r="G612" s="2"/>
    </row>
    <row r="613" spans="1:7" x14ac:dyDescent="0.2">
      <c r="A613" s="5"/>
      <c r="B613" s="6"/>
      <c r="C613" s="2"/>
      <c r="D613" s="2"/>
      <c r="E613" s="2"/>
      <c r="F613" s="2"/>
      <c r="G613" s="2"/>
    </row>
    <row r="614" spans="1:7" x14ac:dyDescent="0.2">
      <c r="A614" s="5"/>
      <c r="B614" s="6"/>
      <c r="C614" s="2"/>
      <c r="D614" s="2"/>
      <c r="E614" s="2"/>
      <c r="F614" s="2"/>
      <c r="G614" s="2"/>
    </row>
    <row r="615" spans="1:7" x14ac:dyDescent="0.2">
      <c r="A615" s="4"/>
      <c r="B615" s="6"/>
      <c r="C615" s="2"/>
      <c r="D615" s="2"/>
      <c r="E615" s="2"/>
      <c r="F615" s="2"/>
      <c r="G615" s="2"/>
    </row>
    <row r="616" spans="1:7" x14ac:dyDescent="0.2">
      <c r="A616" s="5"/>
      <c r="B616" s="6"/>
      <c r="C616" s="2"/>
      <c r="D616" s="2"/>
      <c r="E616" s="2"/>
      <c r="F616" s="2"/>
      <c r="G616" s="2"/>
    </row>
    <row r="617" spans="1:7" x14ac:dyDescent="0.2">
      <c r="A617" s="5"/>
      <c r="B617" s="6"/>
      <c r="C617" s="2"/>
      <c r="D617" s="2"/>
      <c r="E617" s="2"/>
      <c r="F617" s="2"/>
      <c r="G617" s="2"/>
    </row>
    <row r="618" spans="1:7" x14ac:dyDescent="0.2">
      <c r="A618" s="4"/>
      <c r="B618" s="6"/>
      <c r="C618" s="2"/>
      <c r="D618" s="2"/>
      <c r="E618" s="2"/>
      <c r="F618" s="2"/>
      <c r="G618" s="2"/>
    </row>
    <row r="619" spans="1:7" x14ac:dyDescent="0.2">
      <c r="A619" s="5"/>
      <c r="B619" s="6"/>
      <c r="C619" s="2"/>
      <c r="D619" s="2"/>
      <c r="E619" s="2"/>
      <c r="F619" s="2"/>
      <c r="G619" s="2"/>
    </row>
    <row r="620" spans="1:7" x14ac:dyDescent="0.2">
      <c r="A620" s="5"/>
      <c r="B620" s="6"/>
      <c r="C620" s="2"/>
      <c r="D620" s="2"/>
      <c r="E620" s="2"/>
      <c r="F620" s="2"/>
      <c r="G620" s="2"/>
    </row>
    <row r="621" spans="1:7" x14ac:dyDescent="0.2">
      <c r="A621" s="5"/>
      <c r="B621" s="6"/>
      <c r="C621" s="2"/>
      <c r="D621" s="2"/>
      <c r="E621" s="2"/>
      <c r="F621" s="2"/>
      <c r="G621" s="2"/>
    </row>
    <row r="622" spans="1:7" x14ac:dyDescent="0.2">
      <c r="A622" s="4"/>
      <c r="B622" s="6"/>
      <c r="C622" s="2"/>
      <c r="D622" s="2"/>
      <c r="E622" s="2"/>
      <c r="F622" s="2"/>
      <c r="G622" s="2"/>
    </row>
    <row r="623" spans="1:7" x14ac:dyDescent="0.2">
      <c r="A623" s="5"/>
      <c r="B623" s="6"/>
      <c r="C623" s="2"/>
      <c r="D623" s="2"/>
      <c r="E623" s="2"/>
      <c r="F623" s="2"/>
      <c r="G623" s="2"/>
    </row>
    <row r="624" spans="1:7" x14ac:dyDescent="0.2">
      <c r="A624" s="5"/>
      <c r="B624" s="6"/>
      <c r="C624" s="2"/>
      <c r="D624" s="2"/>
      <c r="E624" s="2"/>
      <c r="F624" s="2"/>
      <c r="G624" s="2"/>
    </row>
    <row r="625" spans="1:7" x14ac:dyDescent="0.2">
      <c r="A625" s="5"/>
      <c r="B625" s="6"/>
      <c r="C625" s="2"/>
      <c r="D625" s="2"/>
      <c r="E625" s="2"/>
      <c r="F625" s="2"/>
      <c r="G625" s="2"/>
    </row>
    <row r="626" spans="1:7" x14ac:dyDescent="0.2">
      <c r="A626" s="4"/>
      <c r="B626" s="6"/>
      <c r="C626" s="2"/>
      <c r="D626" s="2"/>
      <c r="E626" s="2"/>
      <c r="F626" s="2"/>
      <c r="G626" s="2"/>
    </row>
    <row r="627" spans="1:7" x14ac:dyDescent="0.2">
      <c r="A627" s="5"/>
      <c r="B627" s="6"/>
      <c r="C627" s="2"/>
      <c r="D627" s="2"/>
      <c r="E627" s="2"/>
      <c r="F627" s="2"/>
      <c r="G627" s="2"/>
    </row>
    <row r="628" spans="1:7" x14ac:dyDescent="0.2">
      <c r="A628" s="5"/>
      <c r="B628" s="6"/>
      <c r="C628" s="2"/>
      <c r="D628" s="2"/>
      <c r="E628" s="2"/>
      <c r="F628" s="2"/>
      <c r="G628" s="2"/>
    </row>
    <row r="629" spans="1:7" x14ac:dyDescent="0.2">
      <c r="A629" s="5"/>
      <c r="B629" s="6"/>
      <c r="C629" s="2"/>
      <c r="D629" s="2"/>
      <c r="E629" s="2"/>
      <c r="F629" s="2"/>
      <c r="G629" s="2"/>
    </row>
    <row r="630" spans="1:7" x14ac:dyDescent="0.2">
      <c r="A630" s="4"/>
      <c r="B630" s="6"/>
      <c r="C630" s="2"/>
      <c r="D630" s="2"/>
      <c r="E630" s="2"/>
      <c r="F630" s="2"/>
      <c r="G630" s="2"/>
    </row>
    <row r="631" spans="1:7" x14ac:dyDescent="0.2">
      <c r="A631" s="5"/>
      <c r="B631" s="6"/>
      <c r="C631" s="2"/>
      <c r="D631" s="2"/>
      <c r="E631" s="2"/>
      <c r="F631" s="2"/>
      <c r="G631" s="2"/>
    </row>
    <row r="632" spans="1:7" x14ac:dyDescent="0.2">
      <c r="A632" s="5"/>
      <c r="B632" s="6"/>
      <c r="C632" s="2"/>
      <c r="D632" s="2"/>
      <c r="E632" s="2"/>
      <c r="F632" s="2"/>
      <c r="G632" s="2"/>
    </row>
    <row r="633" spans="1:7" x14ac:dyDescent="0.2">
      <c r="A633" s="4"/>
      <c r="B633" s="6"/>
      <c r="C633" s="2"/>
      <c r="D633" s="2"/>
      <c r="E633" s="2"/>
      <c r="F633" s="2"/>
      <c r="G633" s="2"/>
    </row>
    <row r="634" spans="1:7" x14ac:dyDescent="0.2">
      <c r="A634" s="5"/>
      <c r="B634" s="6"/>
      <c r="C634" s="2"/>
      <c r="D634" s="2"/>
      <c r="E634" s="2"/>
      <c r="F634" s="2"/>
      <c r="G634" s="2"/>
    </row>
    <row r="635" spans="1:7" x14ac:dyDescent="0.2">
      <c r="A635" s="5"/>
      <c r="B635" s="6"/>
      <c r="C635" s="2"/>
      <c r="D635" s="2"/>
      <c r="E635" s="2"/>
      <c r="F635" s="2"/>
      <c r="G635" s="2"/>
    </row>
    <row r="636" spans="1:7" x14ac:dyDescent="0.2">
      <c r="A636" s="5"/>
      <c r="B636" s="6"/>
      <c r="C636" s="2"/>
      <c r="D636" s="2"/>
      <c r="E636" s="2"/>
      <c r="F636" s="2"/>
      <c r="G636" s="2"/>
    </row>
    <row r="637" spans="1:7" x14ac:dyDescent="0.2">
      <c r="A637" s="4"/>
      <c r="B637" s="6"/>
      <c r="C637" s="2"/>
      <c r="D637" s="2"/>
      <c r="E637" s="2"/>
      <c r="F637" s="2"/>
      <c r="G637" s="2"/>
    </row>
    <row r="638" spans="1:7" x14ac:dyDescent="0.2">
      <c r="A638" s="5"/>
      <c r="B638" s="6"/>
      <c r="C638" s="2"/>
      <c r="D638" s="2"/>
      <c r="E638" s="2"/>
      <c r="F638" s="2"/>
      <c r="G638" s="2"/>
    </row>
    <row r="639" spans="1:7" x14ac:dyDescent="0.2">
      <c r="A639" s="5"/>
      <c r="B639" s="6"/>
      <c r="C639" s="2"/>
      <c r="D639" s="2"/>
      <c r="E639" s="2"/>
      <c r="F639" s="2"/>
      <c r="G639" s="2"/>
    </row>
    <row r="640" spans="1:7" x14ac:dyDescent="0.2">
      <c r="A640" s="5"/>
      <c r="B640" s="6"/>
      <c r="C640" s="2"/>
      <c r="D640" s="2"/>
      <c r="E640" s="2"/>
      <c r="F640" s="2"/>
      <c r="G640" s="2"/>
    </row>
    <row r="641" spans="1:7" x14ac:dyDescent="0.2">
      <c r="A641" s="4"/>
      <c r="B641" s="6"/>
      <c r="C641" s="2"/>
      <c r="D641" s="2"/>
      <c r="E641" s="2"/>
      <c r="F641" s="2"/>
      <c r="G641" s="2"/>
    </row>
    <row r="642" spans="1:7" x14ac:dyDescent="0.2">
      <c r="A642" s="5"/>
      <c r="B642" s="6"/>
      <c r="C642" s="2"/>
      <c r="D642" s="2"/>
      <c r="E642" s="2"/>
      <c r="F642" s="2"/>
      <c r="G642" s="2"/>
    </row>
    <row r="643" spans="1:7" x14ac:dyDescent="0.2">
      <c r="A643" s="5"/>
      <c r="B643" s="6"/>
      <c r="C643" s="2"/>
      <c r="D643" s="2"/>
      <c r="E643" s="2"/>
      <c r="F643" s="2"/>
      <c r="G643" s="2"/>
    </row>
    <row r="644" spans="1:7" x14ac:dyDescent="0.2">
      <c r="A644" s="5"/>
      <c r="B644" s="6"/>
      <c r="C644" s="2"/>
      <c r="D644" s="2"/>
      <c r="E644" s="2"/>
      <c r="F644" s="2"/>
      <c r="G644" s="2"/>
    </row>
    <row r="645" spans="1:7" x14ac:dyDescent="0.2">
      <c r="A645" s="4"/>
      <c r="B645" s="6"/>
      <c r="C645" s="2"/>
      <c r="D645" s="2"/>
      <c r="E645" s="2"/>
      <c r="F645" s="2"/>
      <c r="G645" s="2"/>
    </row>
    <row r="646" spans="1:7" x14ac:dyDescent="0.2">
      <c r="A646" s="5"/>
      <c r="B646" s="6"/>
      <c r="C646" s="2"/>
      <c r="D646" s="2"/>
      <c r="E646" s="2"/>
      <c r="F646" s="2"/>
      <c r="G646" s="2"/>
    </row>
    <row r="647" spans="1:7" x14ac:dyDescent="0.2">
      <c r="A647" s="5"/>
      <c r="B647" s="6"/>
      <c r="C647" s="2"/>
      <c r="D647" s="2"/>
      <c r="E647" s="2"/>
      <c r="F647" s="2"/>
      <c r="G647" s="2"/>
    </row>
    <row r="648" spans="1:7" x14ac:dyDescent="0.2">
      <c r="A648" s="4"/>
      <c r="B648" s="6"/>
      <c r="C648" s="2"/>
      <c r="D648" s="2"/>
      <c r="E648" s="2"/>
      <c r="F648" s="2"/>
      <c r="G648" s="2"/>
    </row>
    <row r="649" spans="1:7" x14ac:dyDescent="0.2">
      <c r="A649" s="5"/>
      <c r="B649" s="6"/>
      <c r="C649" s="2"/>
      <c r="D649" s="2"/>
      <c r="E649" s="2"/>
      <c r="F649" s="2"/>
      <c r="G649" s="2"/>
    </row>
    <row r="650" spans="1:7" x14ac:dyDescent="0.2">
      <c r="A650" s="5"/>
      <c r="B650" s="6"/>
      <c r="C650" s="2"/>
      <c r="D650" s="2"/>
      <c r="E650" s="2"/>
      <c r="F650" s="2"/>
      <c r="G650" s="2"/>
    </row>
    <row r="651" spans="1:7" x14ac:dyDescent="0.2">
      <c r="A651" s="5"/>
      <c r="B651" s="6"/>
      <c r="C651" s="2"/>
      <c r="D651" s="2"/>
      <c r="E651" s="2"/>
      <c r="F651" s="2"/>
      <c r="G651" s="2"/>
    </row>
    <row r="652" spans="1:7" x14ac:dyDescent="0.2">
      <c r="A652" s="4"/>
      <c r="B652" s="6"/>
      <c r="C652" s="2"/>
      <c r="D652" s="2"/>
      <c r="E652" s="2"/>
      <c r="F652" s="2"/>
      <c r="G652" s="2"/>
    </row>
    <row r="653" spans="1:7" x14ac:dyDescent="0.2">
      <c r="A653" s="5"/>
      <c r="B653" s="6"/>
      <c r="C653" s="2"/>
      <c r="D653" s="2"/>
      <c r="E653" s="2"/>
      <c r="F653" s="2"/>
      <c r="G653" s="2"/>
    </row>
    <row r="654" spans="1:7" x14ac:dyDescent="0.2">
      <c r="A654" s="5"/>
      <c r="B654" s="6"/>
      <c r="C654" s="2"/>
      <c r="D654" s="2"/>
      <c r="E654" s="2"/>
      <c r="F654" s="2"/>
      <c r="G654" s="2"/>
    </row>
    <row r="655" spans="1:7" x14ac:dyDescent="0.2">
      <c r="A655" s="5"/>
      <c r="B655" s="6"/>
      <c r="C655" s="2"/>
      <c r="D655" s="2"/>
      <c r="E655" s="2"/>
      <c r="F655" s="2"/>
      <c r="G655" s="2"/>
    </row>
    <row r="656" spans="1:7" x14ac:dyDescent="0.2">
      <c r="A656" s="4"/>
      <c r="B656" s="6"/>
      <c r="C656" s="2"/>
      <c r="D656" s="2"/>
      <c r="E656" s="2"/>
      <c r="F656" s="2"/>
      <c r="G656" s="2"/>
    </row>
    <row r="657" spans="1:7" x14ac:dyDescent="0.2">
      <c r="A657" s="5"/>
      <c r="B657" s="6"/>
      <c r="C657" s="2"/>
      <c r="D657" s="2"/>
      <c r="E657" s="2"/>
      <c r="F657" s="2"/>
      <c r="G657" s="2"/>
    </row>
    <row r="658" spans="1:7" x14ac:dyDescent="0.2">
      <c r="A658" s="5"/>
      <c r="B658" s="6"/>
      <c r="C658" s="2"/>
      <c r="D658" s="2"/>
      <c r="E658" s="2"/>
      <c r="F658" s="2"/>
      <c r="G658" s="2"/>
    </row>
    <row r="659" spans="1:7" x14ac:dyDescent="0.2">
      <c r="A659" s="5"/>
      <c r="B659" s="6"/>
      <c r="C659" s="2"/>
      <c r="D659" s="2"/>
      <c r="E659" s="2"/>
      <c r="F659" s="2"/>
      <c r="G659" s="2"/>
    </row>
    <row r="660" spans="1:7" x14ac:dyDescent="0.2">
      <c r="A660" s="4"/>
      <c r="B660" s="6"/>
      <c r="C660" s="2"/>
      <c r="D660" s="2"/>
      <c r="E660" s="2"/>
      <c r="F660" s="2"/>
      <c r="G660" s="2"/>
    </row>
    <row r="661" spans="1:7" x14ac:dyDescent="0.2">
      <c r="A661" s="5"/>
      <c r="B661" s="6"/>
      <c r="C661" s="2"/>
      <c r="D661" s="2"/>
      <c r="E661" s="2"/>
      <c r="F661" s="2"/>
      <c r="G661" s="2"/>
    </row>
    <row r="662" spans="1:7" x14ac:dyDescent="0.2">
      <c r="A662" s="5"/>
      <c r="B662" s="6"/>
      <c r="C662" s="2"/>
      <c r="D662" s="2"/>
      <c r="E662" s="2"/>
      <c r="F662" s="2"/>
      <c r="G662" s="2"/>
    </row>
    <row r="663" spans="1:7" x14ac:dyDescent="0.2">
      <c r="A663" s="4"/>
      <c r="B663" s="6"/>
      <c r="C663" s="2"/>
      <c r="D663" s="2"/>
      <c r="E663" s="2"/>
      <c r="F663" s="2"/>
      <c r="G663" s="2"/>
    </row>
    <row r="664" spans="1:7" x14ac:dyDescent="0.2">
      <c r="A664" s="5"/>
      <c r="B664" s="6"/>
      <c r="C664" s="2"/>
      <c r="D664" s="2"/>
      <c r="E664" s="2"/>
      <c r="F664" s="2"/>
      <c r="G664" s="2"/>
    </row>
    <row r="665" spans="1:7" x14ac:dyDescent="0.2">
      <c r="A665" s="5"/>
      <c r="B665" s="6"/>
      <c r="C665" s="2"/>
      <c r="D665" s="2"/>
      <c r="E665" s="2"/>
      <c r="F665" s="2"/>
      <c r="G665" s="2"/>
    </row>
    <row r="666" spans="1:7" x14ac:dyDescent="0.2">
      <c r="A666" s="5"/>
      <c r="B666" s="6"/>
      <c r="C666" s="2"/>
      <c r="D666" s="2"/>
      <c r="E666" s="2"/>
      <c r="F666" s="2"/>
      <c r="G666" s="2"/>
    </row>
    <row r="667" spans="1:7" x14ac:dyDescent="0.2">
      <c r="A667" s="4"/>
      <c r="B667" s="6"/>
      <c r="C667" s="2"/>
      <c r="D667" s="2"/>
      <c r="E667" s="2"/>
      <c r="F667" s="2"/>
      <c r="G667" s="2"/>
    </row>
    <row r="668" spans="1:7" x14ac:dyDescent="0.2">
      <c r="A668" s="5"/>
      <c r="B668" s="6"/>
      <c r="C668" s="2"/>
      <c r="D668" s="2"/>
      <c r="E668" s="2"/>
      <c r="F668" s="2"/>
      <c r="G668" s="2"/>
    </row>
    <row r="669" spans="1:7" x14ac:dyDescent="0.2">
      <c r="A669" s="5"/>
      <c r="B669" s="6"/>
      <c r="C669" s="2"/>
      <c r="D669" s="2"/>
      <c r="E669" s="2"/>
      <c r="F669" s="2"/>
      <c r="G669" s="2"/>
    </row>
    <row r="670" spans="1:7" x14ac:dyDescent="0.2">
      <c r="A670" s="5"/>
      <c r="B670" s="6"/>
      <c r="C670" s="2"/>
      <c r="D670" s="2"/>
      <c r="E670" s="2"/>
      <c r="F670" s="2"/>
      <c r="G670" s="2"/>
    </row>
    <row r="671" spans="1:7" x14ac:dyDescent="0.2">
      <c r="A671" s="4"/>
      <c r="B671" s="6"/>
      <c r="C671" s="2"/>
      <c r="D671" s="2"/>
      <c r="E671" s="2"/>
      <c r="F671" s="2"/>
      <c r="G671" s="2"/>
    </row>
    <row r="672" spans="1:7" x14ac:dyDescent="0.2">
      <c r="A672" s="5"/>
      <c r="B672" s="6"/>
      <c r="C672" s="2"/>
      <c r="D672" s="2"/>
      <c r="E672" s="2"/>
      <c r="F672" s="2"/>
      <c r="G672" s="2"/>
    </row>
    <row r="673" spans="1:7" x14ac:dyDescent="0.2">
      <c r="A673" s="5"/>
      <c r="B673" s="6"/>
      <c r="C673" s="2"/>
      <c r="D673" s="2"/>
      <c r="E673" s="2"/>
      <c r="F673" s="2"/>
      <c r="G673" s="2"/>
    </row>
    <row r="674" spans="1:7" x14ac:dyDescent="0.2">
      <c r="A674" s="5"/>
      <c r="B674" s="6"/>
      <c r="C674" s="2"/>
      <c r="D674" s="2"/>
      <c r="E674" s="2"/>
      <c r="F674" s="2"/>
      <c r="G674" s="2"/>
    </row>
    <row r="675" spans="1:7" x14ac:dyDescent="0.2">
      <c r="A675" s="4"/>
      <c r="B675" s="6"/>
      <c r="C675" s="2"/>
      <c r="D675" s="2"/>
      <c r="E675" s="2"/>
      <c r="F675" s="2"/>
      <c r="G675" s="2"/>
    </row>
    <row r="676" spans="1:7" x14ac:dyDescent="0.2">
      <c r="A676" s="5"/>
      <c r="B676" s="6"/>
      <c r="C676" s="2"/>
      <c r="D676" s="2"/>
      <c r="E676" s="2"/>
      <c r="F676" s="2"/>
      <c r="G676" s="2"/>
    </row>
    <row r="677" spans="1:7" x14ac:dyDescent="0.2">
      <c r="A677" s="5"/>
      <c r="B677" s="6"/>
      <c r="C677" s="2"/>
      <c r="D677" s="2"/>
      <c r="E677" s="2"/>
      <c r="F677" s="2"/>
      <c r="G677" s="2"/>
    </row>
    <row r="678" spans="1:7" x14ac:dyDescent="0.2">
      <c r="A678" s="4"/>
      <c r="B678" s="6"/>
      <c r="C678" s="2"/>
      <c r="D678" s="2"/>
      <c r="E678" s="2"/>
      <c r="F678" s="2"/>
      <c r="G678" s="2"/>
    </row>
    <row r="679" spans="1:7" x14ac:dyDescent="0.2">
      <c r="A679" s="5"/>
      <c r="B679" s="6"/>
      <c r="C679" s="2"/>
      <c r="D679" s="2"/>
      <c r="E679" s="2"/>
      <c r="F679" s="2"/>
      <c r="G679" s="2"/>
    </row>
    <row r="680" spans="1:7" x14ac:dyDescent="0.2">
      <c r="A680" s="5"/>
      <c r="B680" s="6"/>
      <c r="C680" s="2"/>
      <c r="D680" s="2"/>
      <c r="E680" s="2"/>
      <c r="F680" s="2"/>
      <c r="G680" s="2"/>
    </row>
    <row r="681" spans="1:7" x14ac:dyDescent="0.2">
      <c r="A681" s="5"/>
      <c r="B681" s="6"/>
      <c r="C681" s="2"/>
      <c r="D681" s="2"/>
      <c r="E681" s="2"/>
      <c r="F681" s="2"/>
      <c r="G681" s="2"/>
    </row>
    <row r="682" spans="1:7" x14ac:dyDescent="0.2">
      <c r="A682" s="4"/>
      <c r="B682" s="6"/>
      <c r="C682" s="2"/>
      <c r="D682" s="2"/>
      <c r="E682" s="2"/>
      <c r="F682" s="2"/>
      <c r="G682" s="2"/>
    </row>
    <row r="683" spans="1:7" x14ac:dyDescent="0.2">
      <c r="A683" s="5"/>
      <c r="B683" s="6"/>
      <c r="C683" s="2"/>
      <c r="D683" s="2"/>
      <c r="E683" s="2"/>
      <c r="F683" s="2"/>
      <c r="G683" s="2"/>
    </row>
    <row r="684" spans="1:7" x14ac:dyDescent="0.2">
      <c r="A684" s="5"/>
      <c r="B684" s="6"/>
      <c r="C684" s="2"/>
      <c r="D684" s="2"/>
      <c r="E684" s="2"/>
      <c r="F684" s="2"/>
      <c r="G684" s="2"/>
    </row>
    <row r="685" spans="1:7" x14ac:dyDescent="0.2">
      <c r="A685" s="5"/>
      <c r="B685" s="6"/>
      <c r="C685" s="2"/>
      <c r="D685" s="2"/>
      <c r="E685" s="2"/>
      <c r="F685" s="2"/>
      <c r="G685" s="2"/>
    </row>
    <row r="686" spans="1:7" x14ac:dyDescent="0.2">
      <c r="A686" s="4"/>
      <c r="B686" s="6"/>
      <c r="C686" s="2"/>
      <c r="D686" s="2"/>
      <c r="E686" s="2"/>
      <c r="F686" s="2"/>
      <c r="G686" s="2"/>
    </row>
    <row r="687" spans="1:7" x14ac:dyDescent="0.2">
      <c r="A687" s="5"/>
      <c r="B687" s="6"/>
      <c r="C687" s="2"/>
      <c r="D687" s="2"/>
      <c r="E687" s="2"/>
      <c r="F687" s="2"/>
      <c r="G687" s="2"/>
    </row>
    <row r="688" spans="1:7" x14ac:dyDescent="0.2">
      <c r="A688" s="5"/>
      <c r="B688" s="6"/>
      <c r="C688" s="2"/>
      <c r="D688" s="2"/>
      <c r="E688" s="2"/>
      <c r="F688" s="2"/>
      <c r="G688" s="2"/>
    </row>
    <row r="689" spans="1:7" x14ac:dyDescent="0.2">
      <c r="A689" s="5"/>
      <c r="B689" s="6"/>
      <c r="C689" s="2"/>
      <c r="D689" s="2"/>
      <c r="E689" s="2"/>
      <c r="F689" s="2"/>
      <c r="G689" s="2"/>
    </row>
    <row r="690" spans="1:7" x14ac:dyDescent="0.2">
      <c r="A690" s="4"/>
      <c r="B690" s="6"/>
      <c r="C690" s="2"/>
      <c r="D690" s="2"/>
      <c r="E690" s="2"/>
      <c r="F690" s="2"/>
      <c r="G690" s="2"/>
    </row>
    <row r="691" spans="1:7" x14ac:dyDescent="0.2">
      <c r="A691" s="5"/>
      <c r="B691" s="6"/>
      <c r="C691" s="2"/>
      <c r="D691" s="2"/>
      <c r="E691" s="2"/>
      <c r="F691" s="2"/>
      <c r="G691" s="2"/>
    </row>
    <row r="692" spans="1:7" x14ac:dyDescent="0.2">
      <c r="A692" s="5"/>
      <c r="B692" s="6"/>
      <c r="C692" s="2"/>
      <c r="D692" s="2"/>
      <c r="E692" s="2"/>
      <c r="F692" s="2"/>
      <c r="G692" s="2"/>
    </row>
    <row r="693" spans="1:7" x14ac:dyDescent="0.2">
      <c r="A693" s="4"/>
      <c r="B693" s="6"/>
      <c r="C693" s="2"/>
      <c r="D693" s="2"/>
      <c r="E693" s="2"/>
      <c r="F693" s="2"/>
      <c r="G693" s="2"/>
    </row>
    <row r="694" spans="1:7" x14ac:dyDescent="0.2">
      <c r="A694" s="5"/>
      <c r="B694" s="6"/>
      <c r="C694" s="2"/>
      <c r="D694" s="2"/>
      <c r="E694" s="2"/>
      <c r="F694" s="2"/>
      <c r="G694" s="2"/>
    </row>
    <row r="695" spans="1:7" x14ac:dyDescent="0.2">
      <c r="A695" s="5"/>
      <c r="B695" s="6"/>
      <c r="C695" s="2"/>
      <c r="D695" s="2"/>
      <c r="E695" s="2"/>
      <c r="F695" s="2"/>
      <c r="G695" s="2"/>
    </row>
    <row r="696" spans="1:7" x14ac:dyDescent="0.2">
      <c r="A696" s="5"/>
      <c r="B696" s="6"/>
      <c r="C696" s="2"/>
      <c r="D696" s="2"/>
      <c r="E696" s="2"/>
      <c r="F696" s="2"/>
      <c r="G696" s="2"/>
    </row>
    <row r="697" spans="1:7" x14ac:dyDescent="0.2">
      <c r="A697" s="4"/>
      <c r="B697" s="6"/>
      <c r="C697" s="2"/>
      <c r="D697" s="2"/>
      <c r="E697" s="2"/>
      <c r="F697" s="2"/>
      <c r="G697" s="2"/>
    </row>
    <row r="698" spans="1:7" x14ac:dyDescent="0.2">
      <c r="A698" s="5"/>
      <c r="B698" s="6"/>
      <c r="C698" s="2"/>
      <c r="D698" s="2"/>
      <c r="E698" s="2"/>
      <c r="F698" s="2"/>
      <c r="G698" s="2"/>
    </row>
    <row r="699" spans="1:7" x14ac:dyDescent="0.2">
      <c r="A699" s="5"/>
      <c r="B699" s="6"/>
      <c r="C699" s="2"/>
      <c r="D699" s="2"/>
      <c r="E699" s="2"/>
      <c r="F699" s="2"/>
      <c r="G699" s="2"/>
    </row>
    <row r="700" spans="1:7" x14ac:dyDescent="0.2">
      <c r="A700" s="5"/>
      <c r="B700" s="6"/>
      <c r="C700" s="2"/>
      <c r="D700" s="2"/>
      <c r="E700" s="2"/>
      <c r="F700" s="2"/>
      <c r="G700" s="2"/>
    </row>
    <row r="701" spans="1:7" x14ac:dyDescent="0.2">
      <c r="A701" s="4"/>
      <c r="B701" s="6"/>
      <c r="C701" s="2"/>
      <c r="D701" s="2"/>
      <c r="E701" s="2"/>
      <c r="F701" s="2"/>
      <c r="G701" s="2"/>
    </row>
    <row r="702" spans="1:7" x14ac:dyDescent="0.2">
      <c r="A702" s="5"/>
      <c r="B702" s="6"/>
      <c r="C702" s="2"/>
      <c r="D702" s="2"/>
      <c r="E702" s="2"/>
      <c r="F702" s="2"/>
      <c r="G702" s="2"/>
    </row>
    <row r="703" spans="1:7" x14ac:dyDescent="0.2">
      <c r="A703" s="5"/>
      <c r="B703" s="6"/>
      <c r="C703" s="2"/>
      <c r="D703" s="2"/>
      <c r="E703" s="2"/>
      <c r="F703" s="2"/>
      <c r="G703" s="2"/>
    </row>
    <row r="704" spans="1:7" x14ac:dyDescent="0.2">
      <c r="A704" s="5"/>
      <c r="B704" s="6"/>
      <c r="C704" s="2"/>
      <c r="D704" s="2"/>
      <c r="E704" s="2"/>
      <c r="F704" s="2"/>
      <c r="G704" s="2"/>
    </row>
    <row r="705" spans="1:7" x14ac:dyDescent="0.2">
      <c r="A705" s="4"/>
      <c r="B705" s="6"/>
      <c r="C705" s="2"/>
      <c r="D705" s="2"/>
      <c r="E705" s="2"/>
      <c r="F705" s="2"/>
      <c r="G705" s="2"/>
    </row>
    <row r="706" spans="1:7" x14ac:dyDescent="0.2">
      <c r="A706" s="5"/>
      <c r="B706" s="6"/>
      <c r="C706" s="2"/>
      <c r="D706" s="2"/>
      <c r="E706" s="2"/>
      <c r="F706" s="2"/>
      <c r="G706" s="2"/>
    </row>
    <row r="707" spans="1:7" x14ac:dyDescent="0.2">
      <c r="A707" s="5"/>
      <c r="B707" s="6"/>
      <c r="C707" s="2"/>
      <c r="D707" s="2"/>
      <c r="E707" s="2"/>
      <c r="F707" s="2"/>
      <c r="G707" s="2"/>
    </row>
    <row r="708" spans="1:7" x14ac:dyDescent="0.2">
      <c r="A708" s="4"/>
      <c r="B708" s="6"/>
      <c r="C708" s="2"/>
      <c r="D708" s="2"/>
      <c r="E708" s="2"/>
      <c r="F708" s="2"/>
      <c r="G708" s="2"/>
    </row>
    <row r="709" spans="1:7" x14ac:dyDescent="0.2">
      <c r="A709" s="5"/>
      <c r="B709" s="6"/>
      <c r="C709" s="2"/>
      <c r="D709" s="2"/>
      <c r="E709" s="2"/>
      <c r="F709" s="2"/>
      <c r="G709" s="2"/>
    </row>
    <row r="710" spans="1:7" x14ac:dyDescent="0.2">
      <c r="A710" s="5"/>
      <c r="B710" s="6"/>
      <c r="C710" s="2"/>
      <c r="D710" s="2"/>
      <c r="E710" s="2"/>
      <c r="F710" s="2"/>
      <c r="G710" s="2"/>
    </row>
    <row r="711" spans="1:7" x14ac:dyDescent="0.2">
      <c r="A711" s="5"/>
      <c r="B711" s="6"/>
      <c r="C711" s="2"/>
      <c r="D711" s="2"/>
      <c r="E711" s="2"/>
      <c r="F711" s="2"/>
      <c r="G711" s="2"/>
    </row>
    <row r="712" spans="1:7" x14ac:dyDescent="0.2">
      <c r="A712" s="4"/>
      <c r="B712" s="6"/>
      <c r="C712" s="2"/>
      <c r="D712" s="2"/>
      <c r="E712" s="2"/>
      <c r="F712" s="2"/>
      <c r="G712" s="2"/>
    </row>
    <row r="713" spans="1:7" x14ac:dyDescent="0.2">
      <c r="A713" s="5"/>
      <c r="B713" s="6"/>
      <c r="C713" s="2"/>
      <c r="D713" s="2"/>
      <c r="E713" s="2"/>
      <c r="F713" s="2"/>
      <c r="G713" s="2"/>
    </row>
    <row r="714" spans="1:7" x14ac:dyDescent="0.2">
      <c r="A714" s="5"/>
      <c r="B714" s="6"/>
      <c r="C714" s="2"/>
      <c r="D714" s="2"/>
      <c r="E714" s="2"/>
      <c r="F714" s="2"/>
      <c r="G714" s="2"/>
    </row>
    <row r="715" spans="1:7" x14ac:dyDescent="0.2">
      <c r="A715" s="5"/>
      <c r="B715" s="6"/>
      <c r="C715" s="2"/>
      <c r="D715" s="2"/>
      <c r="E715" s="2"/>
      <c r="F715" s="2"/>
      <c r="G715" s="2"/>
    </row>
    <row r="716" spans="1:7" x14ac:dyDescent="0.2">
      <c r="A716" s="4"/>
      <c r="B716" s="6"/>
      <c r="C716" s="2"/>
      <c r="D716" s="2"/>
      <c r="E716" s="2"/>
      <c r="F716" s="2"/>
      <c r="G716" s="2"/>
    </row>
    <row r="717" spans="1:7" x14ac:dyDescent="0.2">
      <c r="A717" s="5"/>
      <c r="B717" s="6"/>
      <c r="C717" s="2"/>
      <c r="D717" s="2"/>
      <c r="E717" s="2"/>
      <c r="F717" s="2"/>
      <c r="G717" s="2"/>
    </row>
    <row r="718" spans="1:7" x14ac:dyDescent="0.2">
      <c r="A718" s="5"/>
      <c r="B718" s="6"/>
      <c r="C718" s="2"/>
      <c r="D718" s="2"/>
      <c r="E718" s="2"/>
      <c r="F718" s="2"/>
      <c r="G718" s="2"/>
    </row>
    <row r="719" spans="1:7" x14ac:dyDescent="0.2">
      <c r="A719" s="5"/>
      <c r="B719" s="6"/>
      <c r="C719" s="2"/>
      <c r="D719" s="2"/>
      <c r="E719" s="2"/>
      <c r="F719" s="2"/>
      <c r="G719" s="2"/>
    </row>
    <row r="720" spans="1:7" x14ac:dyDescent="0.2">
      <c r="A720" s="4"/>
      <c r="B720" s="6"/>
      <c r="C720" s="2"/>
      <c r="D720" s="2"/>
      <c r="E720" s="2"/>
      <c r="F720" s="2"/>
      <c r="G720" s="2"/>
    </row>
    <row r="721" spans="1:7" x14ac:dyDescent="0.2">
      <c r="A721" s="5"/>
      <c r="B721" s="6"/>
      <c r="C721" s="2"/>
      <c r="D721" s="2"/>
      <c r="E721" s="2"/>
      <c r="F721" s="2"/>
      <c r="G721" s="2"/>
    </row>
    <row r="722" spans="1:7" x14ac:dyDescent="0.2">
      <c r="A722" s="5"/>
      <c r="B722" s="6"/>
      <c r="C722" s="2"/>
      <c r="D722" s="2"/>
      <c r="E722" s="2"/>
      <c r="F722" s="2"/>
      <c r="G722" s="2"/>
    </row>
    <row r="723" spans="1:7" x14ac:dyDescent="0.2">
      <c r="A723" s="4"/>
      <c r="B723" s="6"/>
      <c r="C723" s="2"/>
      <c r="D723" s="2"/>
      <c r="E723" s="2"/>
      <c r="F723" s="2"/>
      <c r="G723" s="2"/>
    </row>
    <row r="724" spans="1:7" x14ac:dyDescent="0.2">
      <c r="A724" s="5"/>
      <c r="B724" s="6"/>
      <c r="C724" s="2"/>
      <c r="D724" s="2"/>
      <c r="E724" s="2"/>
      <c r="F724" s="2"/>
      <c r="G724" s="2"/>
    </row>
    <row r="725" spans="1:7" x14ac:dyDescent="0.2">
      <c r="A725" s="5"/>
      <c r="B725" s="6"/>
      <c r="C725" s="2"/>
      <c r="D725" s="2"/>
      <c r="E725" s="2"/>
      <c r="F725" s="2"/>
      <c r="G725" s="2"/>
    </row>
    <row r="726" spans="1:7" x14ac:dyDescent="0.2">
      <c r="A726" s="5"/>
      <c r="B726" s="6"/>
      <c r="C726" s="2"/>
      <c r="D726" s="2"/>
      <c r="E726" s="2"/>
      <c r="F726" s="2"/>
      <c r="G726" s="2"/>
    </row>
    <row r="727" spans="1:7" x14ac:dyDescent="0.2">
      <c r="A727" s="4"/>
      <c r="B727" s="6"/>
      <c r="C727" s="2"/>
      <c r="D727" s="2"/>
      <c r="E727" s="2"/>
      <c r="F727" s="2"/>
      <c r="G727" s="2"/>
    </row>
    <row r="728" spans="1:7" x14ac:dyDescent="0.2">
      <c r="A728" s="5"/>
      <c r="B728" s="6"/>
      <c r="C728" s="2"/>
      <c r="D728" s="2"/>
      <c r="E728" s="2"/>
      <c r="F728" s="2"/>
      <c r="G728" s="2"/>
    </row>
    <row r="729" spans="1:7" x14ac:dyDescent="0.2">
      <c r="A729" s="5"/>
      <c r="B729" s="6"/>
      <c r="C729" s="2"/>
      <c r="D729" s="2"/>
      <c r="E729" s="2"/>
      <c r="F729" s="2"/>
      <c r="G729" s="2"/>
    </row>
    <row r="730" spans="1:7" x14ac:dyDescent="0.2">
      <c r="A730" s="5"/>
      <c r="B730" s="6"/>
      <c r="C730" s="2"/>
      <c r="D730" s="2"/>
      <c r="E730" s="2"/>
      <c r="F730" s="2"/>
      <c r="G730" s="2"/>
    </row>
    <row r="731" spans="1:7" x14ac:dyDescent="0.2">
      <c r="A731" s="4"/>
      <c r="B731" s="6"/>
      <c r="C731" s="2"/>
      <c r="D731" s="2"/>
      <c r="E731" s="2"/>
      <c r="F731" s="2"/>
      <c r="G731" s="2"/>
    </row>
    <row r="732" spans="1:7" x14ac:dyDescent="0.2">
      <c r="A732" s="5"/>
      <c r="B732" s="6"/>
      <c r="C732" s="2"/>
      <c r="D732" s="2"/>
      <c r="E732" s="2"/>
      <c r="F732" s="2"/>
      <c r="G732" s="2"/>
    </row>
    <row r="733" spans="1:7" x14ac:dyDescent="0.2">
      <c r="A733" s="5"/>
      <c r="B733" s="6"/>
      <c r="C733" s="2"/>
      <c r="D733" s="2"/>
      <c r="E733" s="2"/>
      <c r="F733" s="2"/>
      <c r="G733" s="2"/>
    </row>
    <row r="734" spans="1:7" x14ac:dyDescent="0.2">
      <c r="A734" s="5"/>
      <c r="B734" s="6"/>
      <c r="C734" s="2"/>
      <c r="D734" s="2"/>
      <c r="E734" s="2"/>
      <c r="F734" s="2"/>
      <c r="G734" s="2"/>
    </row>
    <row r="735" spans="1:7" x14ac:dyDescent="0.2">
      <c r="A735" s="4"/>
      <c r="B735" s="6"/>
      <c r="C735" s="2"/>
      <c r="D735" s="2"/>
      <c r="E735" s="2"/>
      <c r="F735" s="2"/>
      <c r="G735" s="2"/>
    </row>
    <row r="736" spans="1:7" x14ac:dyDescent="0.2">
      <c r="A736" s="5"/>
      <c r="B736" s="6"/>
      <c r="C736" s="2"/>
      <c r="D736" s="2"/>
      <c r="E736" s="2"/>
      <c r="F736" s="2"/>
      <c r="G736" s="2"/>
    </row>
    <row r="737" spans="1:7" x14ac:dyDescent="0.2">
      <c r="A737" s="5"/>
      <c r="B737" s="6"/>
      <c r="C737" s="2"/>
      <c r="D737" s="2"/>
      <c r="E737" s="2"/>
      <c r="F737" s="2"/>
      <c r="G737" s="2"/>
    </row>
    <row r="738" spans="1:7" x14ac:dyDescent="0.2">
      <c r="A738" s="4"/>
      <c r="B738" s="6"/>
      <c r="C738" s="2"/>
      <c r="D738" s="2"/>
      <c r="E738" s="2"/>
      <c r="F738" s="2"/>
      <c r="G738" s="2"/>
    </row>
    <row r="739" spans="1:7" x14ac:dyDescent="0.2">
      <c r="A739" s="5"/>
      <c r="B739" s="6"/>
      <c r="C739" s="2"/>
      <c r="D739" s="2"/>
      <c r="E739" s="2"/>
      <c r="F739" s="2"/>
      <c r="G739" s="2"/>
    </row>
    <row r="740" spans="1:7" x14ac:dyDescent="0.2">
      <c r="A740" s="5"/>
      <c r="B740" s="6"/>
      <c r="C740" s="2"/>
      <c r="D740" s="2"/>
      <c r="E740" s="2"/>
      <c r="F740" s="2"/>
      <c r="G740" s="2"/>
    </row>
    <row r="741" spans="1:7" x14ac:dyDescent="0.2">
      <c r="A741" s="5"/>
      <c r="B741" s="6"/>
      <c r="C741" s="2"/>
      <c r="D741" s="2"/>
      <c r="E741" s="2"/>
      <c r="F741" s="2"/>
      <c r="G741" s="2"/>
    </row>
    <row r="742" spans="1:7" x14ac:dyDescent="0.2">
      <c r="A742" s="4"/>
      <c r="B742" s="6"/>
      <c r="C742" s="2"/>
      <c r="D742" s="2"/>
      <c r="E742" s="2"/>
      <c r="F742" s="2"/>
      <c r="G742" s="2"/>
    </row>
    <row r="743" spans="1:7" x14ac:dyDescent="0.2">
      <c r="A743" s="5"/>
      <c r="B743" s="6"/>
      <c r="C743" s="2"/>
      <c r="D743" s="2"/>
      <c r="E743" s="2"/>
      <c r="F743" s="2"/>
      <c r="G743" s="2"/>
    </row>
    <row r="744" spans="1:7" x14ac:dyDescent="0.2">
      <c r="A744" s="5"/>
      <c r="B744" s="6"/>
      <c r="C744" s="2"/>
      <c r="D744" s="2"/>
      <c r="E744" s="2"/>
      <c r="F744" s="2"/>
      <c r="G744" s="2"/>
    </row>
    <row r="745" spans="1:7" x14ac:dyDescent="0.2">
      <c r="A745" s="5"/>
      <c r="B745" s="6"/>
      <c r="C745" s="2"/>
      <c r="D745" s="2"/>
      <c r="E745" s="2"/>
      <c r="F745" s="2"/>
      <c r="G745" s="2"/>
    </row>
    <row r="746" spans="1:7" x14ac:dyDescent="0.2">
      <c r="A746" s="4"/>
      <c r="B746" s="6"/>
      <c r="C746" s="2"/>
      <c r="D746" s="2"/>
      <c r="E746" s="2"/>
      <c r="F746" s="2"/>
      <c r="G746" s="2"/>
    </row>
    <row r="747" spans="1:7" x14ac:dyDescent="0.2">
      <c r="A747" s="5"/>
      <c r="B747" s="6"/>
      <c r="C747" s="2"/>
      <c r="D747" s="2"/>
      <c r="E747" s="2"/>
      <c r="F747" s="2"/>
      <c r="G747" s="2"/>
    </row>
    <row r="748" spans="1:7" x14ac:dyDescent="0.2">
      <c r="A748" s="5"/>
      <c r="B748" s="6"/>
      <c r="C748" s="2"/>
      <c r="D748" s="2"/>
      <c r="E748" s="2"/>
      <c r="F748" s="2"/>
      <c r="G748" s="2"/>
    </row>
    <row r="749" spans="1:7" x14ac:dyDescent="0.2">
      <c r="A749" s="5"/>
      <c r="B749" s="6"/>
      <c r="C749" s="2"/>
      <c r="D749" s="2"/>
      <c r="E749" s="2"/>
      <c r="F749" s="2"/>
      <c r="G749" s="2"/>
    </row>
    <row r="750" spans="1:7" x14ac:dyDescent="0.2">
      <c r="A750" s="4"/>
      <c r="B750" s="6"/>
      <c r="C750" s="2"/>
      <c r="D750" s="2"/>
      <c r="E750" s="2"/>
      <c r="F750" s="2"/>
      <c r="G750" s="2"/>
    </row>
    <row r="751" spans="1:7" x14ac:dyDescent="0.2">
      <c r="A751" s="5"/>
      <c r="B751" s="6"/>
      <c r="C751" s="2"/>
      <c r="D751" s="2"/>
      <c r="E751" s="2"/>
      <c r="F751" s="2"/>
      <c r="G751" s="2"/>
    </row>
    <row r="752" spans="1:7" x14ac:dyDescent="0.2">
      <c r="A752" s="5"/>
      <c r="B752" s="6"/>
      <c r="C752" s="2"/>
      <c r="D752" s="2"/>
      <c r="E752" s="2"/>
      <c r="F752" s="2"/>
      <c r="G752" s="2"/>
    </row>
    <row r="753" spans="1:7" x14ac:dyDescent="0.2">
      <c r="A753" s="4"/>
      <c r="B753" s="6"/>
      <c r="C753" s="2"/>
      <c r="D753" s="2"/>
      <c r="E753" s="2"/>
      <c r="F753" s="2"/>
      <c r="G753" s="2"/>
    </row>
    <row r="754" spans="1:7" x14ac:dyDescent="0.2">
      <c r="A754" s="5"/>
      <c r="B754" s="6"/>
      <c r="C754" s="2"/>
      <c r="D754" s="2"/>
      <c r="E754" s="2"/>
      <c r="F754" s="2"/>
      <c r="G754" s="2"/>
    </row>
    <row r="755" spans="1:7" x14ac:dyDescent="0.2">
      <c r="A755" s="5"/>
      <c r="B755" s="6"/>
      <c r="C755" s="2"/>
      <c r="D755" s="2"/>
      <c r="E755" s="2"/>
      <c r="F755" s="2"/>
      <c r="G755" s="2"/>
    </row>
    <row r="756" spans="1:7" x14ac:dyDescent="0.2">
      <c r="A756" s="5"/>
      <c r="B756" s="6"/>
      <c r="C756" s="2"/>
      <c r="D756" s="2"/>
      <c r="E756" s="2"/>
      <c r="F756" s="2"/>
      <c r="G756" s="2"/>
    </row>
    <row r="757" spans="1:7" x14ac:dyDescent="0.2">
      <c r="A757" s="4"/>
      <c r="B757" s="6"/>
      <c r="C757" s="2"/>
      <c r="D757" s="2"/>
      <c r="E757" s="2"/>
      <c r="F757" s="2"/>
      <c r="G757" s="2"/>
    </row>
    <row r="758" spans="1:7" x14ac:dyDescent="0.2">
      <c r="A758" s="5"/>
      <c r="B758" s="6"/>
      <c r="C758" s="2"/>
      <c r="D758" s="2"/>
      <c r="E758" s="2"/>
      <c r="F758" s="2"/>
      <c r="G758" s="2"/>
    </row>
    <row r="759" spans="1:7" x14ac:dyDescent="0.2">
      <c r="A759" s="5"/>
      <c r="B759" s="6"/>
      <c r="C759" s="2"/>
      <c r="D759" s="2"/>
      <c r="E759" s="2"/>
      <c r="F759" s="2"/>
      <c r="G759" s="2"/>
    </row>
    <row r="760" spans="1:7" x14ac:dyDescent="0.2">
      <c r="A760" s="5"/>
      <c r="B760" s="6"/>
      <c r="C760" s="2"/>
      <c r="D760" s="2"/>
      <c r="E760" s="2"/>
      <c r="F760" s="2"/>
      <c r="G760" s="2"/>
    </row>
    <row r="761" spans="1:7" x14ac:dyDescent="0.2">
      <c r="A761" s="4"/>
      <c r="B761" s="6"/>
      <c r="C761" s="2"/>
      <c r="D761" s="2"/>
      <c r="E761" s="2"/>
      <c r="F761" s="2"/>
      <c r="G761" s="2"/>
    </row>
    <row r="762" spans="1:7" x14ac:dyDescent="0.2">
      <c r="A762" s="5"/>
      <c r="B762" s="6"/>
      <c r="C762" s="2"/>
      <c r="D762" s="2"/>
      <c r="E762" s="2"/>
      <c r="F762" s="2"/>
      <c r="G762" s="2"/>
    </row>
    <row r="763" spans="1:7" x14ac:dyDescent="0.2">
      <c r="A763" s="5"/>
      <c r="B763" s="6"/>
      <c r="C763" s="2"/>
      <c r="D763" s="2"/>
      <c r="E763" s="2"/>
      <c r="F763" s="2"/>
      <c r="G763" s="2"/>
    </row>
    <row r="764" spans="1:7" x14ac:dyDescent="0.2">
      <c r="A764" s="5"/>
      <c r="B764" s="6"/>
      <c r="C764" s="2"/>
      <c r="D764" s="2"/>
      <c r="E764" s="2"/>
      <c r="F764" s="2"/>
      <c r="G764" s="2"/>
    </row>
    <row r="765" spans="1:7" x14ac:dyDescent="0.2">
      <c r="A765" s="4"/>
      <c r="B765" s="6"/>
      <c r="C765" s="2"/>
      <c r="D765" s="2"/>
      <c r="E765" s="2"/>
      <c r="F765" s="2"/>
      <c r="G765" s="2"/>
    </row>
    <row r="766" spans="1:7" x14ac:dyDescent="0.2">
      <c r="A766" s="5"/>
      <c r="B766" s="6"/>
      <c r="C766" s="2"/>
      <c r="D766" s="2"/>
      <c r="E766" s="2"/>
      <c r="F766" s="2"/>
      <c r="G766" s="2"/>
    </row>
    <row r="767" spans="1:7" x14ac:dyDescent="0.2">
      <c r="A767" s="5"/>
      <c r="B767" s="6"/>
      <c r="C767" s="2"/>
      <c r="D767" s="2"/>
      <c r="E767" s="2"/>
      <c r="F767" s="2"/>
      <c r="G767" s="2"/>
    </row>
    <row r="768" spans="1:7" x14ac:dyDescent="0.2">
      <c r="A768" s="4"/>
      <c r="B768" s="6"/>
      <c r="C768" s="2"/>
      <c r="D768" s="2"/>
      <c r="E768" s="2"/>
      <c r="F768" s="2"/>
      <c r="G768" s="2"/>
    </row>
    <row r="769" spans="1:7" x14ac:dyDescent="0.2">
      <c r="A769" s="5"/>
      <c r="B769" s="6"/>
      <c r="C769" s="2"/>
      <c r="D769" s="2"/>
      <c r="E769" s="2"/>
      <c r="F769" s="2"/>
      <c r="G769" s="2"/>
    </row>
    <row r="770" spans="1:7" x14ac:dyDescent="0.2">
      <c r="A770" s="5"/>
      <c r="B770" s="6"/>
      <c r="C770" s="2"/>
      <c r="D770" s="2"/>
      <c r="E770" s="2"/>
      <c r="F770" s="2"/>
      <c r="G770" s="2"/>
    </row>
    <row r="771" spans="1:7" x14ac:dyDescent="0.2">
      <c r="A771" s="5"/>
      <c r="B771" s="6"/>
      <c r="C771" s="2"/>
      <c r="D771" s="2"/>
      <c r="E771" s="2"/>
      <c r="F771" s="2"/>
      <c r="G771" s="2"/>
    </row>
    <row r="772" spans="1:7" x14ac:dyDescent="0.2">
      <c r="A772" s="4"/>
      <c r="B772" s="6"/>
      <c r="C772" s="2"/>
      <c r="D772" s="2"/>
      <c r="E772" s="2"/>
      <c r="F772" s="2"/>
      <c r="G772" s="2"/>
    </row>
    <row r="773" spans="1:7" x14ac:dyDescent="0.2">
      <c r="A773" s="5"/>
      <c r="B773" s="6"/>
      <c r="C773" s="2"/>
      <c r="D773" s="2"/>
      <c r="E773" s="2"/>
      <c r="F773" s="2"/>
      <c r="G773" s="2"/>
    </row>
    <row r="774" spans="1:7" x14ac:dyDescent="0.2">
      <c r="A774" s="5"/>
      <c r="B774" s="6"/>
      <c r="C774" s="2"/>
      <c r="D774" s="2"/>
      <c r="E774" s="2"/>
      <c r="F774" s="2"/>
      <c r="G774" s="2"/>
    </row>
    <row r="775" spans="1:7" x14ac:dyDescent="0.2">
      <c r="A775" s="5"/>
      <c r="B775" s="6"/>
      <c r="C775" s="2"/>
      <c r="D775" s="2"/>
      <c r="E775" s="2"/>
      <c r="F775" s="2"/>
      <c r="G775" s="2"/>
    </row>
    <row r="776" spans="1:7" x14ac:dyDescent="0.2">
      <c r="A776" s="4"/>
      <c r="B776" s="6"/>
      <c r="C776" s="2"/>
      <c r="D776" s="2"/>
      <c r="E776" s="2"/>
      <c r="F776" s="2"/>
      <c r="G776" s="2"/>
    </row>
    <row r="777" spans="1:7" x14ac:dyDescent="0.2">
      <c r="A777" s="5"/>
      <c r="B777" s="6"/>
      <c r="C777" s="2"/>
      <c r="D777" s="2"/>
      <c r="E777" s="2"/>
      <c r="F777" s="2"/>
      <c r="G777" s="2"/>
    </row>
    <row r="778" spans="1:7" x14ac:dyDescent="0.2">
      <c r="A778" s="5"/>
      <c r="B778" s="6"/>
      <c r="C778" s="2"/>
      <c r="D778" s="2"/>
      <c r="E778" s="2"/>
      <c r="F778" s="2"/>
      <c r="G778" s="2"/>
    </row>
    <row r="779" spans="1:7" x14ac:dyDescent="0.2">
      <c r="A779" s="5"/>
      <c r="B779" s="6"/>
      <c r="C779" s="2"/>
      <c r="D779" s="2"/>
      <c r="E779" s="2"/>
      <c r="F779" s="2"/>
      <c r="G779" s="2"/>
    </row>
    <row r="780" spans="1:7" x14ac:dyDescent="0.2">
      <c r="A780" s="4"/>
      <c r="B780" s="6"/>
      <c r="C780" s="2"/>
      <c r="D780" s="2"/>
      <c r="E780" s="2"/>
      <c r="F780" s="2"/>
      <c r="G780" s="2"/>
    </row>
    <row r="781" spans="1:7" x14ac:dyDescent="0.2">
      <c r="A781" s="5"/>
      <c r="B781" s="6"/>
      <c r="C781" s="2"/>
      <c r="D781" s="2"/>
      <c r="E781" s="2"/>
      <c r="F781" s="2"/>
      <c r="G781" s="2"/>
    </row>
    <row r="782" spans="1:7" x14ac:dyDescent="0.2">
      <c r="A782" s="5"/>
      <c r="B782" s="6"/>
      <c r="C782" s="2"/>
      <c r="D782" s="2"/>
      <c r="E782" s="2"/>
      <c r="F782" s="2"/>
      <c r="G782" s="2"/>
    </row>
    <row r="783" spans="1:7" x14ac:dyDescent="0.2">
      <c r="A783" s="4"/>
      <c r="B783" s="6"/>
      <c r="C783" s="2"/>
      <c r="D783" s="2"/>
      <c r="E783" s="2"/>
      <c r="F783" s="2"/>
      <c r="G783" s="2"/>
    </row>
    <row r="784" spans="1:7" x14ac:dyDescent="0.2">
      <c r="A784" s="5"/>
      <c r="B784" s="6"/>
      <c r="C784" s="2"/>
      <c r="D784" s="2"/>
      <c r="E784" s="2"/>
      <c r="F784" s="2"/>
      <c r="G784" s="2"/>
    </row>
    <row r="785" spans="1:7" x14ac:dyDescent="0.2">
      <c r="A785" s="5"/>
      <c r="B785" s="6"/>
      <c r="C785" s="2"/>
      <c r="D785" s="2"/>
      <c r="E785" s="2"/>
      <c r="F785" s="2"/>
      <c r="G785" s="2"/>
    </row>
    <row r="786" spans="1:7" x14ac:dyDescent="0.2">
      <c r="A786" s="5"/>
      <c r="B786" s="6"/>
      <c r="C786" s="2"/>
      <c r="D786" s="2"/>
      <c r="E786" s="2"/>
      <c r="F786" s="2"/>
      <c r="G786" s="2"/>
    </row>
    <row r="787" spans="1:7" x14ac:dyDescent="0.2">
      <c r="A787" s="4"/>
      <c r="B787" s="6"/>
      <c r="C787" s="2"/>
      <c r="D787" s="2"/>
      <c r="E787" s="2"/>
      <c r="F787" s="2"/>
      <c r="G787" s="2"/>
    </row>
    <row r="788" spans="1:7" x14ac:dyDescent="0.2">
      <c r="A788" s="5"/>
      <c r="B788" s="6"/>
      <c r="C788" s="2"/>
      <c r="D788" s="2"/>
      <c r="E788" s="2"/>
      <c r="F788" s="2"/>
      <c r="G788" s="2"/>
    </row>
    <row r="789" spans="1:7" x14ac:dyDescent="0.2">
      <c r="A789" s="4"/>
      <c r="B789" s="6"/>
      <c r="C789" s="2"/>
      <c r="D789" s="2"/>
      <c r="E789" s="2"/>
      <c r="F789" s="2"/>
      <c r="G789" s="2"/>
    </row>
    <row r="790" spans="1:7" x14ac:dyDescent="0.2">
      <c r="A790" s="5"/>
      <c r="B790" s="6"/>
      <c r="C790" s="2"/>
      <c r="D790" s="2"/>
      <c r="E790" s="2"/>
      <c r="F790" s="2"/>
      <c r="G790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C880-E8D5-7A4F-A0E1-BFF221E510A8}">
  <dimension ref="A1:C8"/>
  <sheetViews>
    <sheetView workbookViewId="0">
      <selection activeCell="B7" sqref="B7"/>
    </sheetView>
  </sheetViews>
  <sheetFormatPr baseColWidth="10" defaultRowHeight="16" x14ac:dyDescent="0.2"/>
  <cols>
    <col min="1" max="1" width="5.1640625" bestFit="1" customWidth="1"/>
    <col min="2" max="2" width="22" bestFit="1" customWidth="1"/>
    <col min="3" max="3" width="14.1640625" bestFit="1" customWidth="1"/>
    <col min="4" max="4" width="10.83203125" customWidth="1"/>
  </cols>
  <sheetData>
    <row r="1" spans="1:3" ht="17" x14ac:dyDescent="0.2">
      <c r="A1" s="10" t="s">
        <v>988</v>
      </c>
      <c r="B1" s="10" t="s">
        <v>1001</v>
      </c>
      <c r="C1" s="10" t="s">
        <v>989</v>
      </c>
    </row>
    <row r="2" spans="1:3" x14ac:dyDescent="0.2">
      <c r="A2" s="8">
        <v>1960</v>
      </c>
      <c r="B2" s="8"/>
      <c r="C2" s="8">
        <v>2750000000000</v>
      </c>
    </row>
    <row r="3" spans="1:3" x14ac:dyDescent="0.2">
      <c r="A3" s="9">
        <v>1970</v>
      </c>
      <c r="B3" s="14">
        <v>7.1193493905520767E-14</v>
      </c>
      <c r="C3" s="9">
        <v>2750000000000</v>
      </c>
    </row>
    <row r="4" spans="1:3" x14ac:dyDescent="0.2">
      <c r="A4" s="8">
        <v>1980</v>
      </c>
      <c r="B4" s="14">
        <v>1.5139095927990262E-12</v>
      </c>
      <c r="C4" s="9">
        <v>2750000000000</v>
      </c>
    </row>
    <row r="5" spans="1:3" x14ac:dyDescent="0.2">
      <c r="A5" s="8">
        <v>1991</v>
      </c>
      <c r="B5" s="14">
        <v>1.6053297670399404E-5</v>
      </c>
      <c r="C5" s="9">
        <v>2750000</v>
      </c>
    </row>
    <row r="6" spans="1:3" x14ac:dyDescent="0.2">
      <c r="A6" s="8">
        <v>2000</v>
      </c>
      <c r="B6" s="14">
        <v>0.24268232640852103</v>
      </c>
      <c r="C6" s="9">
        <v>1</v>
      </c>
    </row>
    <row r="7" spans="1:3" x14ac:dyDescent="0.2">
      <c r="A7" s="9">
        <v>2010</v>
      </c>
      <c r="B7" s="14">
        <v>0.48024293268729523</v>
      </c>
      <c r="C7" s="9">
        <v>1</v>
      </c>
    </row>
    <row r="8" spans="1:3" x14ac:dyDescent="0.2">
      <c r="A8" s="8">
        <v>2022</v>
      </c>
      <c r="B8" s="14">
        <v>1</v>
      </c>
      <c r="C8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LEIAME</vt:lpstr>
      <vt:lpstr>IGP</vt:lpstr>
      <vt:lpstr>INPC</vt:lpstr>
      <vt:lpstr>Deflator compatibilizacao Censo</vt:lpstr>
      <vt:lpstr>Conversor moeda compat Censo</vt:lpstr>
      <vt:lpstr>Deflator e Conversor Censo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Giovanna Ribeiro</dc:creator>
  <cp:keywords/>
  <dc:description/>
  <cp:lastModifiedBy>Giovanna Ribeiro</cp:lastModifiedBy>
  <dcterms:created xsi:type="dcterms:W3CDTF">2025-11-07T20:26:17Z</dcterms:created>
  <dcterms:modified xsi:type="dcterms:W3CDTF">2026-10-20T12:48:00Z</dcterms:modified>
  <cp:category/>
</cp:coreProperties>
</file>